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1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2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3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4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5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umnienacfr-my.sharepoint.com/personal/remi_barbero_alumni_enac_fr/Documents/Echange/Elections/Municipales 2026/"/>
    </mc:Choice>
  </mc:AlternateContent>
  <xr:revisionPtr revIDLastSave="424" documentId="13_ncr:1_{A0FA2679-14C2-47CF-AC52-390917E1AA77}" xr6:coauthVersionLast="47" xr6:coauthVersionMax="47" xr10:uidLastSave="{F86B044C-C7C2-4FB0-9481-B32931E52646}"/>
  <bookViews>
    <workbookView xWindow="-110" yWindow="-110" windowWidth="21820" windowHeight="14620" tabRatio="786" firstSheet="1" activeTab="14" xr2:uid="{B7C3E9D1-50C9-4914-A8AA-B18D77A5BAFC}"/>
  </bookViews>
  <sheets>
    <sheet name="Synthèse" sheetId="1" r:id="rId1"/>
    <sheet name="Participation horaire" sheetId="3" r:id="rId2"/>
    <sheet name="Bureau 1" sheetId="1279" r:id="rId3"/>
    <sheet name="Bureau 2" sheetId="1280" r:id="rId4"/>
    <sheet name="Bureau 3" sheetId="1281" r:id="rId5"/>
    <sheet name="Bureau 4" sheetId="1282" r:id="rId6"/>
    <sheet name="Bureau 5" sheetId="1283" r:id="rId7"/>
    <sheet name="Bureau 6" sheetId="1284" r:id="rId8"/>
    <sheet name="Bureau 7" sheetId="1285" r:id="rId9"/>
    <sheet name="Bureau 8" sheetId="1286" r:id="rId10"/>
    <sheet name="Bureau 9" sheetId="1287" r:id="rId11"/>
    <sheet name="Bureau 10" sheetId="1288" r:id="rId12"/>
    <sheet name="Bureau 11" sheetId="1289" r:id="rId13"/>
    <sheet name="Bureau 12" sheetId="1290" r:id="rId14"/>
    <sheet name="Projection" sheetId="757" r:id="rId15"/>
    <sheet name="Sièges" sheetId="1182" r:id="rId16"/>
    <sheet name="Feuille décompte" sheetId="952" r:id="rId17"/>
  </sheets>
  <definedNames>
    <definedName name="CalculSieges">Sièges!$E$1:$O$3</definedName>
    <definedName name="exTable3">#REF!</definedName>
    <definedName name="PfmCC">Sièges!$G$20</definedName>
    <definedName name="PfmCM">Sièges!$G$19</definedName>
    <definedName name="PmCC">Sièges!$F$20</definedName>
    <definedName name="PmCM">Sièges!$F$19</definedName>
    <definedName name="Table1" localSheetId="2">'Bureau 1'!$D$49:$H$59</definedName>
    <definedName name="Table1" localSheetId="11">'Bureau 10'!$D$49:$H$59</definedName>
    <definedName name="Table1" localSheetId="12">'Bureau 11'!$D$49:$H$59</definedName>
    <definedName name="Table1" localSheetId="13">'Bureau 12'!$D$49:$H$59</definedName>
    <definedName name="Table1" localSheetId="3">'Bureau 2'!$D$49:$H$59</definedName>
    <definedName name="Table1" localSheetId="4">'Bureau 3'!$D$49:$H$59</definedName>
    <definedName name="Table1" localSheetId="5">'Bureau 4'!$D$49:$H$59</definedName>
    <definedName name="Table1" localSheetId="6">'Bureau 5'!$D$49:$H$59</definedName>
    <definedName name="Table1" localSheetId="7">'Bureau 6'!$D$49:$H$59</definedName>
    <definedName name="Table1" localSheetId="8">'Bureau 7'!$D$49:$H$59</definedName>
    <definedName name="Table1" localSheetId="9">'Bureau 8'!$D$49:$H$59</definedName>
    <definedName name="Table1" localSheetId="10">'Bureau 9'!$D$49:$H$59</definedName>
    <definedName name="Table1" localSheetId="16">'Feuille décompte'!$A$6:$E$15</definedName>
    <definedName name="Table1">#REF!</definedName>
    <definedName name="Table1bis">'Feuille décompte'!$A$24:$E$28</definedName>
    <definedName name="Table2" localSheetId="2">'Bureau 1'!$D$67:$H$72</definedName>
    <definedName name="Table2" localSheetId="11">'Bureau 10'!$D$67:$H$72</definedName>
    <definedName name="Table2" localSheetId="12">'Bureau 11'!$D$67:$H$72</definedName>
    <definedName name="Table2" localSheetId="13">'Bureau 12'!$D$67:$H$72</definedName>
    <definedName name="Table2" localSheetId="3">'Bureau 2'!$D$67:$H$72</definedName>
    <definedName name="Table2" localSheetId="4">'Bureau 3'!$D$67:$H$72</definedName>
    <definedName name="Table2" localSheetId="5">'Bureau 4'!$D$67:$H$72</definedName>
    <definedName name="Table2" localSheetId="6">'Bureau 5'!$D$67:$H$72</definedName>
    <definedName name="Table2" localSheetId="7">'Bureau 6'!$D$67:$H$72</definedName>
    <definedName name="Table2" localSheetId="8">'Bureau 7'!$D$67:$H$72</definedName>
    <definedName name="Table2" localSheetId="9">'Bureau 8'!$D$67:$H$72</definedName>
    <definedName name="Table2" localSheetId="10">'Bureau 9'!$D$67:$H$72</definedName>
    <definedName name="Table2" localSheetId="16">'Feuille décompte'!#REF!</definedName>
    <definedName name="Table2">#REF!</definedName>
    <definedName name="Table3" localSheetId="2">'Bureau 1'!$D$78:$H$80</definedName>
    <definedName name="Table3" localSheetId="11">'Bureau 10'!$D$78:$H$80</definedName>
    <definedName name="Table3" localSheetId="12">'Bureau 11'!$D$78:$H$80</definedName>
    <definedName name="Table3" localSheetId="13">'Bureau 12'!$D$78:$H$80</definedName>
    <definedName name="Table3" localSheetId="3">'Bureau 2'!$D$78:$H$80</definedName>
    <definedName name="Table3" localSheetId="4">'Bureau 3'!$D$78:$H$80</definedName>
    <definedName name="Table3" localSheetId="5">'Bureau 4'!$D$78:$H$80</definedName>
    <definedName name="Table3" localSheetId="6">'Bureau 5'!$D$78:$H$80</definedName>
    <definedName name="Table3" localSheetId="7">'Bureau 6'!$D$78:$H$80</definedName>
    <definedName name="Table3" localSheetId="8">'Bureau 7'!$D$78:$H$80</definedName>
    <definedName name="Table3" localSheetId="9">'Bureau 8'!$D$78:$H$80</definedName>
    <definedName name="Table3" localSheetId="10">'Bureau 9'!$D$78:$H$80</definedName>
    <definedName name="Table3" localSheetId="16">'Feuille décompte'!#REF!</definedName>
    <definedName name="Table3">#REF!</definedName>
    <definedName name="TableauAges">Sièges!$Y$3:$AD$38</definedName>
    <definedName name="TableDepouillement1">#REF!</definedName>
    <definedName name="TableDepouillement1bis">#REF!</definedName>
    <definedName name="VoixEligibles">Sièges!$F$14:$F$15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182" l="1"/>
  <c r="P2" i="1182"/>
  <c r="B7" i="1290"/>
  <c r="E25" i="1290" s="1"/>
  <c r="B6" i="1290"/>
  <c r="I80" i="1290"/>
  <c r="I79" i="1290"/>
  <c r="I78" i="1290"/>
  <c r="I72" i="1290"/>
  <c r="I71" i="1290"/>
  <c r="I70" i="1290"/>
  <c r="I69" i="1290"/>
  <c r="I68" i="1290"/>
  <c r="I59" i="1290"/>
  <c r="I58" i="1290"/>
  <c r="I57" i="1290"/>
  <c r="I56" i="1290"/>
  <c r="I55" i="1290"/>
  <c r="I54" i="1290"/>
  <c r="I53" i="1290"/>
  <c r="I52" i="1290"/>
  <c r="I51" i="1290"/>
  <c r="I50" i="1290"/>
  <c r="P15" i="1290"/>
  <c r="M15" i="1290"/>
  <c r="P14" i="1290"/>
  <c r="M14" i="1290"/>
  <c r="P13" i="1290"/>
  <c r="P12" i="1290"/>
  <c r="P11" i="1290"/>
  <c r="P10" i="1290"/>
  <c r="P9" i="1290"/>
  <c r="P8" i="1290"/>
  <c r="B8" i="1290"/>
  <c r="D25" i="1290" s="1"/>
  <c r="P7" i="1290"/>
  <c r="P6" i="1290"/>
  <c r="P5" i="1290"/>
  <c r="P4" i="1290"/>
  <c r="B4" i="1290"/>
  <c r="A4" i="1290"/>
  <c r="B3" i="1290"/>
  <c r="A3" i="1290"/>
  <c r="F2" i="1290"/>
  <c r="F67" i="1290" s="1"/>
  <c r="E2" i="1290"/>
  <c r="E67" i="1290" s="1"/>
  <c r="B2" i="1290"/>
  <c r="A2" i="1290"/>
  <c r="B1" i="1290"/>
  <c r="A1" i="1290"/>
  <c r="B7" i="1289"/>
  <c r="E25" i="1289" s="1"/>
  <c r="B6" i="1289"/>
  <c r="I80" i="1289"/>
  <c r="I79" i="1289"/>
  <c r="I78" i="1289"/>
  <c r="I72" i="1289"/>
  <c r="I71" i="1289"/>
  <c r="I70" i="1289"/>
  <c r="I69" i="1289"/>
  <c r="I68" i="1289"/>
  <c r="I59" i="1289"/>
  <c r="I58" i="1289"/>
  <c r="I57" i="1289"/>
  <c r="I56" i="1289"/>
  <c r="I55" i="1289"/>
  <c r="I54" i="1289"/>
  <c r="I53" i="1289"/>
  <c r="I52" i="1289"/>
  <c r="I51" i="1289"/>
  <c r="I50" i="1289"/>
  <c r="P15" i="1289"/>
  <c r="M15" i="1289"/>
  <c r="P14" i="1289"/>
  <c r="M14" i="1289"/>
  <c r="P13" i="1289"/>
  <c r="P12" i="1289"/>
  <c r="P11" i="1289"/>
  <c r="P10" i="1289"/>
  <c r="P9" i="1289"/>
  <c r="P8" i="1289"/>
  <c r="B8" i="1289"/>
  <c r="E24" i="1289" s="1"/>
  <c r="P7" i="1289"/>
  <c r="P6" i="1289"/>
  <c r="P5" i="1289"/>
  <c r="P4" i="1289"/>
  <c r="B4" i="1289"/>
  <c r="A4" i="1289"/>
  <c r="B3" i="1289"/>
  <c r="A3" i="1289"/>
  <c r="F2" i="1289"/>
  <c r="F67" i="1289" s="1"/>
  <c r="E2" i="1289"/>
  <c r="E67" i="1289" s="1"/>
  <c r="B2" i="1289"/>
  <c r="A2" i="1289"/>
  <c r="B1" i="1289"/>
  <c r="A1" i="1289"/>
  <c r="B7" i="1288"/>
  <c r="M12" i="1288" s="1"/>
  <c r="B6" i="1288"/>
  <c r="I80" i="1288"/>
  <c r="I79" i="1288"/>
  <c r="I78" i="1288"/>
  <c r="I72" i="1288"/>
  <c r="I71" i="1288"/>
  <c r="I70" i="1288"/>
  <c r="I69" i="1288"/>
  <c r="I68" i="1288"/>
  <c r="I59" i="1288"/>
  <c r="I58" i="1288"/>
  <c r="I57" i="1288"/>
  <c r="I56" i="1288"/>
  <c r="I55" i="1288"/>
  <c r="I54" i="1288"/>
  <c r="I53" i="1288"/>
  <c r="I52" i="1288"/>
  <c r="I51" i="1288"/>
  <c r="I50" i="1288"/>
  <c r="P15" i="1288"/>
  <c r="M15" i="1288"/>
  <c r="P14" i="1288"/>
  <c r="M14" i="1288"/>
  <c r="P13" i="1288"/>
  <c r="P12" i="1288"/>
  <c r="P11" i="1288"/>
  <c r="P10" i="1288"/>
  <c r="P9" i="1288"/>
  <c r="P8" i="1288"/>
  <c r="B8" i="1288"/>
  <c r="E24" i="1288" s="1"/>
  <c r="P7" i="1288"/>
  <c r="P6" i="1288"/>
  <c r="P5" i="1288"/>
  <c r="P4" i="1288"/>
  <c r="B4" i="1288"/>
  <c r="A4" i="1288"/>
  <c r="B3" i="1288"/>
  <c r="A3" i="1288"/>
  <c r="F2" i="1288"/>
  <c r="F67" i="1288" s="1"/>
  <c r="E2" i="1288"/>
  <c r="E67" i="1288" s="1"/>
  <c r="B2" i="1288"/>
  <c r="A2" i="1288"/>
  <c r="B1" i="1288"/>
  <c r="A1" i="1288"/>
  <c r="B7" i="1287"/>
  <c r="M6" i="1287" s="1"/>
  <c r="B6" i="1287"/>
  <c r="I80" i="1287"/>
  <c r="I79" i="1287"/>
  <c r="I78" i="1287"/>
  <c r="I72" i="1287"/>
  <c r="I71" i="1287"/>
  <c r="I70" i="1287"/>
  <c r="I69" i="1287"/>
  <c r="I68" i="1287"/>
  <c r="I59" i="1287"/>
  <c r="I58" i="1287"/>
  <c r="I57" i="1287"/>
  <c r="I56" i="1287"/>
  <c r="I55" i="1287"/>
  <c r="I54" i="1287"/>
  <c r="I53" i="1287"/>
  <c r="I52" i="1287"/>
  <c r="I51" i="1287"/>
  <c r="I50" i="1287"/>
  <c r="P15" i="1287"/>
  <c r="M15" i="1287"/>
  <c r="P14" i="1287"/>
  <c r="M14" i="1287"/>
  <c r="P13" i="1287"/>
  <c r="P12" i="1287"/>
  <c r="P11" i="1287"/>
  <c r="P10" i="1287"/>
  <c r="P9" i="1287"/>
  <c r="P8" i="1287"/>
  <c r="B8" i="1287"/>
  <c r="D25" i="1287" s="1"/>
  <c r="P7" i="1287"/>
  <c r="P6" i="1287"/>
  <c r="P5" i="1287"/>
  <c r="P4" i="1287"/>
  <c r="B4" i="1287"/>
  <c r="A4" i="1287"/>
  <c r="B3" i="1287"/>
  <c r="A3" i="1287"/>
  <c r="F2" i="1287"/>
  <c r="F67" i="1287" s="1"/>
  <c r="E2" i="1287"/>
  <c r="E67" i="1287" s="1"/>
  <c r="B2" i="1287"/>
  <c r="A2" i="1287"/>
  <c r="B1" i="1287"/>
  <c r="A1" i="1287"/>
  <c r="B7" i="1286"/>
  <c r="E25" i="1286" s="1"/>
  <c r="D22" i="1286" s="1"/>
  <c r="B6" i="1286"/>
  <c r="I80" i="1286"/>
  <c r="I79" i="1286"/>
  <c r="I78" i="1286"/>
  <c r="I72" i="1286"/>
  <c r="I71" i="1286"/>
  <c r="I70" i="1286"/>
  <c r="I69" i="1286"/>
  <c r="I68" i="1286"/>
  <c r="I59" i="1286"/>
  <c r="I58" i="1286"/>
  <c r="I57" i="1286"/>
  <c r="I56" i="1286"/>
  <c r="I55" i="1286"/>
  <c r="I54" i="1286"/>
  <c r="I53" i="1286"/>
  <c r="I52" i="1286"/>
  <c r="I51" i="1286"/>
  <c r="I50" i="1286"/>
  <c r="P15" i="1286"/>
  <c r="M15" i="1286"/>
  <c r="P14" i="1286"/>
  <c r="M14" i="1286"/>
  <c r="P13" i="1286"/>
  <c r="P12" i="1286"/>
  <c r="P11" i="1286"/>
  <c r="P10" i="1286"/>
  <c r="P9" i="1286"/>
  <c r="P8" i="1286"/>
  <c r="B8" i="1286"/>
  <c r="E24" i="1286" s="1"/>
  <c r="P7" i="1286"/>
  <c r="P6" i="1286"/>
  <c r="P5" i="1286"/>
  <c r="P4" i="1286"/>
  <c r="B4" i="1286"/>
  <c r="A4" i="1286"/>
  <c r="B3" i="1286"/>
  <c r="A3" i="1286"/>
  <c r="F2" i="1286"/>
  <c r="F67" i="1286" s="1"/>
  <c r="E2" i="1286"/>
  <c r="E67" i="1286" s="1"/>
  <c r="B2" i="1286"/>
  <c r="A2" i="1286"/>
  <c r="B1" i="1286"/>
  <c r="A1" i="1286"/>
  <c r="B7" i="1285"/>
  <c r="M12" i="1285" s="1"/>
  <c r="B6" i="1285"/>
  <c r="I80" i="1285"/>
  <c r="I79" i="1285"/>
  <c r="I78" i="1285"/>
  <c r="I72" i="1285"/>
  <c r="I71" i="1285"/>
  <c r="I70" i="1285"/>
  <c r="I69" i="1285"/>
  <c r="I68" i="1285"/>
  <c r="I59" i="1285"/>
  <c r="I58" i="1285"/>
  <c r="I57" i="1285"/>
  <c r="I56" i="1285"/>
  <c r="I55" i="1285"/>
  <c r="I54" i="1285"/>
  <c r="I53" i="1285"/>
  <c r="I52" i="1285"/>
  <c r="I51" i="1285"/>
  <c r="I50" i="1285"/>
  <c r="P15" i="1285"/>
  <c r="M15" i="1285"/>
  <c r="P14" i="1285"/>
  <c r="M14" i="1285"/>
  <c r="P13" i="1285"/>
  <c r="P12" i="1285"/>
  <c r="P11" i="1285"/>
  <c r="P10" i="1285"/>
  <c r="P9" i="1285"/>
  <c r="P8" i="1285"/>
  <c r="B8" i="1285"/>
  <c r="D25" i="1285" s="1"/>
  <c r="P7" i="1285"/>
  <c r="P6" i="1285"/>
  <c r="P5" i="1285"/>
  <c r="P4" i="1285"/>
  <c r="B4" i="1285"/>
  <c r="A4" i="1285"/>
  <c r="B3" i="1285"/>
  <c r="A3" i="1285"/>
  <c r="F2" i="1285"/>
  <c r="F77" i="1285" s="1"/>
  <c r="E2" i="1285"/>
  <c r="E67" i="1285" s="1"/>
  <c r="B2" i="1285"/>
  <c r="A2" i="1285"/>
  <c r="B1" i="1285"/>
  <c r="A1" i="1285"/>
  <c r="B7" i="1284"/>
  <c r="M6" i="1284" s="1"/>
  <c r="B6" i="1284"/>
  <c r="I80" i="1284"/>
  <c r="I79" i="1284"/>
  <c r="I78" i="1284"/>
  <c r="I72" i="1284"/>
  <c r="I71" i="1284"/>
  <c r="I70" i="1284"/>
  <c r="I69" i="1284"/>
  <c r="I68" i="1284"/>
  <c r="I59" i="1284"/>
  <c r="I58" i="1284"/>
  <c r="I57" i="1284"/>
  <c r="I56" i="1284"/>
  <c r="I55" i="1284"/>
  <c r="I54" i="1284"/>
  <c r="I53" i="1284"/>
  <c r="I52" i="1284"/>
  <c r="I51" i="1284"/>
  <c r="I50" i="1284"/>
  <c r="E25" i="1284"/>
  <c r="D22" i="1284" s="1"/>
  <c r="P15" i="1284"/>
  <c r="M15" i="1284"/>
  <c r="P14" i="1284"/>
  <c r="M14" i="1284"/>
  <c r="P13" i="1284"/>
  <c r="P12" i="1284"/>
  <c r="P11" i="1284"/>
  <c r="M11" i="1284"/>
  <c r="P10" i="1284"/>
  <c r="M10" i="1284"/>
  <c r="P9" i="1284"/>
  <c r="M9" i="1284"/>
  <c r="P8" i="1284"/>
  <c r="B8" i="1284"/>
  <c r="D25" i="1284" s="1"/>
  <c r="P7" i="1284"/>
  <c r="M7" i="1284"/>
  <c r="P6" i="1284"/>
  <c r="P5" i="1284"/>
  <c r="P4" i="1284"/>
  <c r="B4" i="1284"/>
  <c r="A4" i="1284"/>
  <c r="B3" i="1284"/>
  <c r="A3" i="1284"/>
  <c r="F2" i="1284"/>
  <c r="F77" i="1284" s="1"/>
  <c r="E2" i="1284"/>
  <c r="E67" i="1284" s="1"/>
  <c r="B2" i="1284"/>
  <c r="A2" i="1284"/>
  <c r="B1" i="1284"/>
  <c r="A1" i="1284"/>
  <c r="B7" i="1283"/>
  <c r="M7" i="1283" s="1"/>
  <c r="B6" i="1283"/>
  <c r="I80" i="1283"/>
  <c r="I79" i="1283"/>
  <c r="I78" i="1283"/>
  <c r="I72" i="1283"/>
  <c r="I71" i="1283"/>
  <c r="I70" i="1283"/>
  <c r="I69" i="1283"/>
  <c r="I68" i="1283"/>
  <c r="I59" i="1283"/>
  <c r="I58" i="1283"/>
  <c r="I57" i="1283"/>
  <c r="I56" i="1283"/>
  <c r="I55" i="1283"/>
  <c r="I54" i="1283"/>
  <c r="I53" i="1283"/>
  <c r="I52" i="1283"/>
  <c r="I51" i="1283"/>
  <c r="I50" i="1283"/>
  <c r="P15" i="1283"/>
  <c r="M15" i="1283"/>
  <c r="P14" i="1283"/>
  <c r="M14" i="1283"/>
  <c r="P13" i="1283"/>
  <c r="P12" i="1283"/>
  <c r="P11" i="1283"/>
  <c r="P10" i="1283"/>
  <c r="P9" i="1283"/>
  <c r="P8" i="1283"/>
  <c r="B8" i="1283"/>
  <c r="E24" i="1283" s="1"/>
  <c r="P7" i="1283"/>
  <c r="P6" i="1283"/>
  <c r="P5" i="1283"/>
  <c r="P4" i="1283"/>
  <c r="B4" i="1283"/>
  <c r="A4" i="1283"/>
  <c r="B3" i="1283"/>
  <c r="A3" i="1283"/>
  <c r="F2" i="1283"/>
  <c r="F67" i="1283" s="1"/>
  <c r="E2" i="1283"/>
  <c r="E67" i="1283" s="1"/>
  <c r="B2" i="1283"/>
  <c r="A2" i="1283"/>
  <c r="B1" i="1283"/>
  <c r="A1" i="1283"/>
  <c r="B7" i="1282"/>
  <c r="E25" i="1282" s="1"/>
  <c r="D22" i="1282" s="1"/>
  <c r="B6" i="1282"/>
  <c r="I80" i="1282"/>
  <c r="I79" i="1282"/>
  <c r="I78" i="1282"/>
  <c r="I72" i="1282"/>
  <c r="I71" i="1282"/>
  <c r="I70" i="1282"/>
  <c r="I69" i="1282"/>
  <c r="I68" i="1282"/>
  <c r="I59" i="1282"/>
  <c r="I58" i="1282"/>
  <c r="I57" i="1282"/>
  <c r="I56" i="1282"/>
  <c r="I55" i="1282"/>
  <c r="I54" i="1282"/>
  <c r="I53" i="1282"/>
  <c r="I52" i="1282"/>
  <c r="I51" i="1282"/>
  <c r="I50" i="1282"/>
  <c r="P15" i="1282"/>
  <c r="M15" i="1282"/>
  <c r="P14" i="1282"/>
  <c r="M14" i="1282"/>
  <c r="P13" i="1282"/>
  <c r="P12" i="1282"/>
  <c r="P11" i="1282"/>
  <c r="P10" i="1282"/>
  <c r="P9" i="1282"/>
  <c r="P8" i="1282"/>
  <c r="B8" i="1282"/>
  <c r="P7" i="1282"/>
  <c r="P6" i="1282"/>
  <c r="P5" i="1282"/>
  <c r="P4" i="1282"/>
  <c r="B4" i="1282"/>
  <c r="A4" i="1282"/>
  <c r="B3" i="1282"/>
  <c r="A3" i="1282"/>
  <c r="F2" i="1282"/>
  <c r="F49" i="1282" s="1"/>
  <c r="E2" i="1282"/>
  <c r="E67" i="1282" s="1"/>
  <c r="B2" i="1282"/>
  <c r="A2" i="1282"/>
  <c r="B1" i="1282"/>
  <c r="A1" i="1282"/>
  <c r="B7" i="1281"/>
  <c r="M6" i="1281" s="1"/>
  <c r="B6" i="1281"/>
  <c r="I80" i="1281"/>
  <c r="I79" i="1281"/>
  <c r="I78" i="1281"/>
  <c r="I72" i="1281"/>
  <c r="I71" i="1281"/>
  <c r="I70" i="1281"/>
  <c r="I69" i="1281"/>
  <c r="I68" i="1281"/>
  <c r="I59" i="1281"/>
  <c r="I58" i="1281"/>
  <c r="I57" i="1281"/>
  <c r="I56" i="1281"/>
  <c r="I55" i="1281"/>
  <c r="I54" i="1281"/>
  <c r="I53" i="1281"/>
  <c r="I52" i="1281"/>
  <c r="I51" i="1281"/>
  <c r="I50" i="1281"/>
  <c r="P15" i="1281"/>
  <c r="M15" i="1281"/>
  <c r="P14" i="1281"/>
  <c r="M14" i="1281"/>
  <c r="P13" i="1281"/>
  <c r="P12" i="1281"/>
  <c r="P11" i="1281"/>
  <c r="P10" i="1281"/>
  <c r="P9" i="1281"/>
  <c r="P8" i="1281"/>
  <c r="B8" i="1281"/>
  <c r="D25" i="1281" s="1"/>
  <c r="P7" i="1281"/>
  <c r="M7" i="1281"/>
  <c r="P6" i="1281"/>
  <c r="P5" i="1281"/>
  <c r="P4" i="1281"/>
  <c r="B4" i="1281"/>
  <c r="A4" i="1281"/>
  <c r="M3" i="1281"/>
  <c r="B3" i="1281"/>
  <c r="A3" i="1281"/>
  <c r="F2" i="1281"/>
  <c r="F77" i="1281" s="1"/>
  <c r="E2" i="1281"/>
  <c r="E67" i="1281" s="1"/>
  <c r="B2" i="1281"/>
  <c r="A2" i="1281"/>
  <c r="B1" i="1281"/>
  <c r="A1" i="1281"/>
  <c r="B7" i="1280"/>
  <c r="E25" i="1280" s="1"/>
  <c r="B6" i="1280"/>
  <c r="I80" i="1280"/>
  <c r="I79" i="1280"/>
  <c r="I78" i="1280"/>
  <c r="I72" i="1280"/>
  <c r="I71" i="1280"/>
  <c r="I70" i="1280"/>
  <c r="I69" i="1280"/>
  <c r="I68" i="1280"/>
  <c r="I59" i="1280"/>
  <c r="I58" i="1280"/>
  <c r="I57" i="1280"/>
  <c r="I56" i="1280"/>
  <c r="I55" i="1280"/>
  <c r="I54" i="1280"/>
  <c r="I53" i="1280"/>
  <c r="I52" i="1280"/>
  <c r="I51" i="1280"/>
  <c r="I50" i="1280"/>
  <c r="P15" i="1280"/>
  <c r="M15" i="1280"/>
  <c r="P14" i="1280"/>
  <c r="M14" i="1280"/>
  <c r="P13" i="1280"/>
  <c r="M13" i="1280"/>
  <c r="P12" i="1280"/>
  <c r="P11" i="1280"/>
  <c r="P10" i="1280"/>
  <c r="P9" i="1280"/>
  <c r="M9" i="1280"/>
  <c r="P8" i="1280"/>
  <c r="B8" i="1280"/>
  <c r="E24" i="1280" s="1"/>
  <c r="P7" i="1280"/>
  <c r="M7" i="1280"/>
  <c r="P6" i="1280"/>
  <c r="P5" i="1280"/>
  <c r="P4" i="1280"/>
  <c r="B4" i="1280"/>
  <c r="A4" i="1280"/>
  <c r="B3" i="1280"/>
  <c r="A3" i="1280"/>
  <c r="F2" i="1280"/>
  <c r="F67" i="1280" s="1"/>
  <c r="E2" i="1280"/>
  <c r="E67" i="1280" s="1"/>
  <c r="B2" i="1280"/>
  <c r="A2" i="1280"/>
  <c r="B1" i="1280"/>
  <c r="A1" i="1280"/>
  <c r="B7" i="1279"/>
  <c r="E25" i="1279" s="1"/>
  <c r="B6" i="1279"/>
  <c r="I80" i="1279"/>
  <c r="I79" i="1279"/>
  <c r="I78" i="1279"/>
  <c r="I72" i="1279"/>
  <c r="I71" i="1279"/>
  <c r="I70" i="1279"/>
  <c r="I69" i="1279"/>
  <c r="I68" i="1279"/>
  <c r="I59" i="1279"/>
  <c r="I58" i="1279"/>
  <c r="I57" i="1279"/>
  <c r="I56" i="1279"/>
  <c r="I55" i="1279"/>
  <c r="I54" i="1279"/>
  <c r="I53" i="1279"/>
  <c r="I52" i="1279"/>
  <c r="I51" i="1279"/>
  <c r="I50" i="1279"/>
  <c r="P15" i="1279"/>
  <c r="M15" i="1279"/>
  <c r="P14" i="1279"/>
  <c r="M14" i="1279"/>
  <c r="P13" i="1279"/>
  <c r="P12" i="1279"/>
  <c r="P11" i="1279"/>
  <c r="P10" i="1279"/>
  <c r="P9" i="1279"/>
  <c r="P8" i="1279"/>
  <c r="B8" i="1279"/>
  <c r="D25" i="1279" s="1"/>
  <c r="P7" i="1279"/>
  <c r="P6" i="1279"/>
  <c r="P5" i="1279"/>
  <c r="M5" i="1279"/>
  <c r="P4" i="1279"/>
  <c r="B4" i="1279"/>
  <c r="A4" i="1279"/>
  <c r="B3" i="1279"/>
  <c r="A3" i="1279"/>
  <c r="F2" i="1279"/>
  <c r="F67" i="1279" s="1"/>
  <c r="E2" i="1279"/>
  <c r="E67" i="1279" s="1"/>
  <c r="B2" i="1279"/>
  <c r="A2" i="1279"/>
  <c r="B1" i="1279"/>
  <c r="A1" i="1279"/>
  <c r="E24" i="952"/>
  <c r="D24" i="952"/>
  <c r="E6" i="952"/>
  <c r="D6" i="952"/>
  <c r="B24" i="952"/>
  <c r="C24" i="952"/>
  <c r="M11" i="1279" l="1"/>
  <c r="M6" i="1280"/>
  <c r="M10" i="1280"/>
  <c r="M5" i="1282"/>
  <c r="M5" i="1284"/>
  <c r="M8" i="1290"/>
  <c r="M11" i="1287"/>
  <c r="M10" i="1282"/>
  <c r="M7" i="1287"/>
  <c r="M12" i="1287"/>
  <c r="M4" i="1289"/>
  <c r="M10" i="1289"/>
  <c r="M3" i="1284"/>
  <c r="M6" i="1290"/>
  <c r="M3" i="1282"/>
  <c r="M3" i="1280"/>
  <c r="M11" i="1280"/>
  <c r="B10" i="1282"/>
  <c r="F67" i="1284"/>
  <c r="M5" i="1287"/>
  <c r="M4" i="1279"/>
  <c r="M8" i="1280"/>
  <c r="M12" i="1280"/>
  <c r="D24" i="1280"/>
  <c r="M10" i="1281"/>
  <c r="M4" i="1282"/>
  <c r="M11" i="1283"/>
  <c r="M5" i="1280"/>
  <c r="M8" i="1282"/>
  <c r="M12" i="1282"/>
  <c r="D24" i="1282"/>
  <c r="M4" i="1283"/>
  <c r="M7" i="1286"/>
  <c r="M3" i="1287"/>
  <c r="E25" i="1287"/>
  <c r="D22" i="1287" s="1"/>
  <c r="M5" i="1288"/>
  <c r="M11" i="1288"/>
  <c r="D24" i="1288"/>
  <c r="M10" i="1290"/>
  <c r="M9" i="1282"/>
  <c r="M13" i="1282"/>
  <c r="M5" i="1283"/>
  <c r="D24" i="1283"/>
  <c r="M5" i="1285"/>
  <c r="M11" i="1285"/>
  <c r="D24" i="1285"/>
  <c r="M4" i="1286"/>
  <c r="M8" i="1287"/>
  <c r="M8" i="1283"/>
  <c r="M6" i="1282"/>
  <c r="M9" i="1283"/>
  <c r="M13" i="1283"/>
  <c r="E25" i="1283"/>
  <c r="D19" i="1283" s="1"/>
  <c r="M4" i="1284"/>
  <c r="M13" i="1284"/>
  <c r="M8" i="1286"/>
  <c r="M12" i="1286"/>
  <c r="D24" i="1286"/>
  <c r="M3" i="1286"/>
  <c r="M12" i="1283"/>
  <c r="M6" i="1283"/>
  <c r="M5" i="1286"/>
  <c r="M11" i="1286"/>
  <c r="M7" i="1282"/>
  <c r="M3" i="1283"/>
  <c r="M10" i="1283"/>
  <c r="M9" i="1286"/>
  <c r="M13" i="1286"/>
  <c r="M10" i="1287"/>
  <c r="M10" i="1286"/>
  <c r="M4" i="1280"/>
  <c r="M11" i="1282"/>
  <c r="M6" i="1286"/>
  <c r="M4" i="1290"/>
  <c r="M8" i="1279"/>
  <c r="M12" i="1279"/>
  <c r="D24" i="1279"/>
  <c r="M11" i="1281"/>
  <c r="M9" i="1285"/>
  <c r="M13" i="1285"/>
  <c r="E25" i="1285"/>
  <c r="D19" i="1285" s="1"/>
  <c r="M9" i="1288"/>
  <c r="M13" i="1288"/>
  <c r="E25" i="1288"/>
  <c r="D19" i="1288" s="1"/>
  <c r="M8" i="1289"/>
  <c r="M12" i="1289"/>
  <c r="D24" i="1289"/>
  <c r="M12" i="1290"/>
  <c r="E49" i="1290"/>
  <c r="M4" i="1281"/>
  <c r="M6" i="1285"/>
  <c r="M6" i="1288"/>
  <c r="M5" i="1289"/>
  <c r="M5" i="1290"/>
  <c r="M9" i="1279"/>
  <c r="M13" i="1279"/>
  <c r="M8" i="1281"/>
  <c r="M12" i="1281"/>
  <c r="D24" i="1281"/>
  <c r="M8" i="1284"/>
  <c r="M12" i="1284"/>
  <c r="D21" i="1284"/>
  <c r="M3" i="1285"/>
  <c r="M10" i="1285"/>
  <c r="M4" i="1287"/>
  <c r="M3" i="1288"/>
  <c r="M10" i="1288"/>
  <c r="M9" i="1289"/>
  <c r="M13" i="1289"/>
  <c r="M9" i="1290"/>
  <c r="M13" i="1290"/>
  <c r="M6" i="1279"/>
  <c r="M5" i="1281"/>
  <c r="E25" i="1281"/>
  <c r="D22" i="1281" s="1"/>
  <c r="D24" i="1284"/>
  <c r="M7" i="1285"/>
  <c r="D24" i="1287"/>
  <c r="M7" i="1288"/>
  <c r="M6" i="1289"/>
  <c r="M9" i="1281"/>
  <c r="M13" i="1281"/>
  <c r="M3" i="1279"/>
  <c r="M10" i="1279"/>
  <c r="M7" i="1279"/>
  <c r="F77" i="1282"/>
  <c r="M4" i="1285"/>
  <c r="M9" i="1287"/>
  <c r="M13" i="1287"/>
  <c r="E49" i="1287"/>
  <c r="M4" i="1288"/>
  <c r="M7" i="1289"/>
  <c r="M7" i="1290"/>
  <c r="M8" i="1285"/>
  <c r="M8" i="1288"/>
  <c r="M11" i="1289"/>
  <c r="M11" i="1290"/>
  <c r="B10" i="1287"/>
  <c r="D25" i="1289"/>
  <c r="D25" i="1288"/>
  <c r="D25" i="1286"/>
  <c r="B10" i="1286"/>
  <c r="D25" i="1280"/>
  <c r="D25" i="1283"/>
  <c r="F67" i="1282"/>
  <c r="F49" i="1281"/>
  <c r="F49" i="1287"/>
  <c r="F67" i="1281"/>
  <c r="F67" i="1285"/>
  <c r="E49" i="1286"/>
  <c r="E49" i="1289"/>
  <c r="D22" i="1290"/>
  <c r="D19" i="1290"/>
  <c r="D20" i="1290"/>
  <c r="D24" i="1290"/>
  <c r="M3" i="1290"/>
  <c r="B10" i="1290"/>
  <c r="F49" i="1290"/>
  <c r="D21" i="1290"/>
  <c r="E77" i="1290"/>
  <c r="F77" i="1290"/>
  <c r="E24" i="1290"/>
  <c r="D22" i="1289"/>
  <c r="D19" i="1289"/>
  <c r="M3" i="1289"/>
  <c r="B10" i="1289"/>
  <c r="D4" i="1289" a="1"/>
  <c r="D4" i="1289" s="1"/>
  <c r="D11" i="1289" a="1"/>
  <c r="D11" i="1289" s="1"/>
  <c r="D8" i="1289" a="1"/>
  <c r="D8" i="1289" s="1"/>
  <c r="D5" i="1289" a="1"/>
  <c r="D5" i="1289" s="1"/>
  <c r="D12" i="1289" a="1"/>
  <c r="D12" i="1289" s="1"/>
  <c r="D9" i="1289" a="1"/>
  <c r="D9" i="1289" s="1"/>
  <c r="D6" i="1289" a="1"/>
  <c r="D6" i="1289" s="1"/>
  <c r="D10" i="1289" a="1"/>
  <c r="D10" i="1289" s="1"/>
  <c r="D3" i="1289" a="1"/>
  <c r="D3" i="1289" s="1"/>
  <c r="D7" i="1289" a="1"/>
  <c r="D7" i="1289" s="1"/>
  <c r="D20" i="1289"/>
  <c r="F49" i="1289"/>
  <c r="D21" i="1289"/>
  <c r="E77" i="1289"/>
  <c r="F77" i="1289"/>
  <c r="D11" i="1288" a="1"/>
  <c r="D11" i="1288" s="1"/>
  <c r="D5" i="1288" a="1"/>
  <c r="D5" i="1288" s="1"/>
  <c r="D12" i="1288" a="1"/>
  <c r="D12" i="1288" s="1"/>
  <c r="D9" i="1288" a="1"/>
  <c r="D9" i="1288" s="1"/>
  <c r="D6" i="1288" a="1"/>
  <c r="D6" i="1288" s="1"/>
  <c r="D10" i="1288" a="1"/>
  <c r="D10" i="1288" s="1"/>
  <c r="D3" i="1288" a="1"/>
  <c r="D3" i="1288" s="1"/>
  <c r="D8" i="1288" a="1"/>
  <c r="D8" i="1288" s="1"/>
  <c r="D7" i="1288" a="1"/>
  <c r="D7" i="1288" s="1"/>
  <c r="D4" i="1288" a="1"/>
  <c r="D4" i="1288" s="1"/>
  <c r="B10" i="1288"/>
  <c r="E49" i="1288"/>
  <c r="F49" i="1288"/>
  <c r="E77" i="1288"/>
  <c r="F77" i="1288"/>
  <c r="D19" i="1287"/>
  <c r="D20" i="1287"/>
  <c r="D21" i="1287"/>
  <c r="E77" i="1287"/>
  <c r="F77" i="1287"/>
  <c r="E24" i="1287"/>
  <c r="D19" i="1286"/>
  <c r="D21" i="1286"/>
  <c r="D4" i="1286" a="1"/>
  <c r="D4" i="1286" s="1"/>
  <c r="D11" i="1286" a="1"/>
  <c r="D11" i="1286" s="1"/>
  <c r="D8" i="1286" a="1"/>
  <c r="D8" i="1286" s="1"/>
  <c r="D7" i="1286" a="1"/>
  <c r="D7" i="1286" s="1"/>
  <c r="D5" i="1286" a="1"/>
  <c r="D5" i="1286" s="1"/>
  <c r="D12" i="1286" a="1"/>
  <c r="D12" i="1286" s="1"/>
  <c r="D9" i="1286" a="1"/>
  <c r="D9" i="1286" s="1"/>
  <c r="D6" i="1286" a="1"/>
  <c r="D6" i="1286" s="1"/>
  <c r="D10" i="1286" a="1"/>
  <c r="D10" i="1286" s="1"/>
  <c r="D3" i="1286" a="1"/>
  <c r="D3" i="1286" s="1"/>
  <c r="D20" i="1286"/>
  <c r="F49" i="1286"/>
  <c r="E77" i="1286"/>
  <c r="F77" i="1286"/>
  <c r="E24" i="1285"/>
  <c r="B10" i="1285"/>
  <c r="E49" i="1285"/>
  <c r="F49" i="1285"/>
  <c r="E77" i="1285"/>
  <c r="D20" i="1284"/>
  <c r="B10" i="1284"/>
  <c r="D19" i="1284"/>
  <c r="E49" i="1284"/>
  <c r="F49" i="1284"/>
  <c r="E77" i="1284"/>
  <c r="E24" i="1284"/>
  <c r="D4" i="1283" a="1"/>
  <c r="D4" i="1283" s="1"/>
  <c r="D11" i="1283" a="1"/>
  <c r="D11" i="1283" s="1"/>
  <c r="D5" i="1283" a="1"/>
  <c r="D5" i="1283" s="1"/>
  <c r="D12" i="1283" a="1"/>
  <c r="D12" i="1283" s="1"/>
  <c r="D9" i="1283" a="1"/>
  <c r="D9" i="1283" s="1"/>
  <c r="D6" i="1283" a="1"/>
  <c r="D6" i="1283" s="1"/>
  <c r="D10" i="1283" a="1"/>
  <c r="D10" i="1283" s="1"/>
  <c r="D3" i="1283" a="1"/>
  <c r="D3" i="1283" s="1"/>
  <c r="D7" i="1283" a="1"/>
  <c r="D7" i="1283" s="1"/>
  <c r="D8" i="1283" a="1"/>
  <c r="D8" i="1283" s="1"/>
  <c r="B10" i="1283"/>
  <c r="E49" i="1283"/>
  <c r="F49" i="1283"/>
  <c r="E77" i="1283"/>
  <c r="F77" i="1283"/>
  <c r="D19" i="1282"/>
  <c r="D20" i="1282"/>
  <c r="D21" i="1282"/>
  <c r="E24" i="1282"/>
  <c r="D25" i="1282"/>
  <c r="E49" i="1282"/>
  <c r="E77" i="1282"/>
  <c r="D20" i="1281"/>
  <c r="B10" i="1281"/>
  <c r="E49" i="1281"/>
  <c r="E77" i="1281"/>
  <c r="E24" i="1281"/>
  <c r="D22" i="1280"/>
  <c r="D21" i="1280"/>
  <c r="D11" i="1280" a="1"/>
  <c r="D11" i="1280" s="1"/>
  <c r="D12" i="1280" a="1"/>
  <c r="D12" i="1280" s="1"/>
  <c r="D6" i="1280" a="1"/>
  <c r="D6" i="1280" s="1"/>
  <c r="D5" i="1280" a="1"/>
  <c r="D5" i="1280" s="1"/>
  <c r="D9" i="1280" a="1"/>
  <c r="D9" i="1280" s="1"/>
  <c r="D10" i="1280" a="1"/>
  <c r="D10" i="1280" s="1"/>
  <c r="D3" i="1280" a="1"/>
  <c r="D3" i="1280" s="1"/>
  <c r="D7" i="1280" a="1"/>
  <c r="D7" i="1280" s="1"/>
  <c r="D4" i="1280" a="1"/>
  <c r="D4" i="1280" s="1"/>
  <c r="D8" i="1280" a="1"/>
  <c r="D8" i="1280" s="1"/>
  <c r="B10" i="1280"/>
  <c r="D19" i="1280"/>
  <c r="E49" i="1280"/>
  <c r="D20" i="1280"/>
  <c r="F49" i="1280"/>
  <c r="E77" i="1280"/>
  <c r="F77" i="1280"/>
  <c r="D20" i="1279"/>
  <c r="D19" i="1279"/>
  <c r="D22" i="1279"/>
  <c r="D21" i="1279"/>
  <c r="B10" i="1279"/>
  <c r="E49" i="1279"/>
  <c r="F49" i="1279"/>
  <c r="E77" i="1279"/>
  <c r="F77" i="1279"/>
  <c r="E24" i="1279"/>
  <c r="B35" i="952"/>
  <c r="A35" i="952"/>
  <c r="B34" i="952"/>
  <c r="A34" i="952"/>
  <c r="B33" i="952"/>
  <c r="A33" i="952"/>
  <c r="B32" i="952"/>
  <c r="A32" i="952"/>
  <c r="F20" i="1182"/>
  <c r="F19" i="1182"/>
  <c r="M7" i="757"/>
  <c r="M6" i="757"/>
  <c r="M5" i="757"/>
  <c r="M4" i="757"/>
  <c r="Z3" i="1182"/>
  <c r="H5" i="1280" l="1" a="1"/>
  <c r="H5" i="1280" s="1"/>
  <c r="D20" i="1283"/>
  <c r="D20" i="1288"/>
  <c r="D22" i="1283"/>
  <c r="D21" i="1283"/>
  <c r="D21" i="1281"/>
  <c r="D20" i="1285"/>
  <c r="D22" i="1285"/>
  <c r="D19" i="1281"/>
  <c r="D21" i="1285"/>
  <c r="D22" i="1288"/>
  <c r="D21" i="1288"/>
  <c r="D4" i="1290" a="1"/>
  <c r="D4" i="1290" s="1"/>
  <c r="D11" i="1290" a="1"/>
  <c r="D11" i="1290" s="1"/>
  <c r="D8" i="1290" a="1"/>
  <c r="D8" i="1290" s="1"/>
  <c r="D7" i="1290" a="1"/>
  <c r="D7" i="1290" s="1"/>
  <c r="D5" i="1290" a="1"/>
  <c r="D5" i="1290" s="1"/>
  <c r="D12" i="1290" a="1"/>
  <c r="D12" i="1290" s="1"/>
  <c r="D9" i="1290" a="1"/>
  <c r="D9" i="1290" s="1"/>
  <c r="D6" i="1290" a="1"/>
  <c r="D6" i="1290" s="1"/>
  <c r="D10" i="1290" a="1"/>
  <c r="D10" i="1290" s="1"/>
  <c r="D3" i="1290" a="1"/>
  <c r="D3" i="1290" s="1"/>
  <c r="G10" i="1289" a="1"/>
  <c r="G10" i="1289" s="1"/>
  <c r="F10" i="1289" a="1"/>
  <c r="F10" i="1289" s="1"/>
  <c r="E10" i="1289" a="1"/>
  <c r="E10" i="1289" s="1"/>
  <c r="H10" i="1289" a="1"/>
  <c r="H10" i="1289" s="1"/>
  <c r="F9" i="1289" a="1"/>
  <c r="F9" i="1289" s="1"/>
  <c r="E9" i="1289" a="1"/>
  <c r="E9" i="1289" s="1"/>
  <c r="H9" i="1289" a="1"/>
  <c r="H9" i="1289" s="1"/>
  <c r="G9" i="1289" a="1"/>
  <c r="G9" i="1289" s="1"/>
  <c r="E11" i="1289" a="1"/>
  <c r="E11" i="1289" s="1"/>
  <c r="H11" i="1289" a="1"/>
  <c r="H11" i="1289" s="1"/>
  <c r="G11" i="1289" a="1"/>
  <c r="G11" i="1289" s="1"/>
  <c r="F11" i="1289" a="1"/>
  <c r="F11" i="1289" s="1"/>
  <c r="F12" i="1289" a="1"/>
  <c r="F12" i="1289" s="1"/>
  <c r="E12" i="1289" a="1"/>
  <c r="E12" i="1289" s="1"/>
  <c r="H12" i="1289" a="1"/>
  <c r="H12" i="1289" s="1"/>
  <c r="G12" i="1289" a="1"/>
  <c r="G12" i="1289" s="1"/>
  <c r="H8" i="1289" a="1"/>
  <c r="H8" i="1289" s="1"/>
  <c r="G8" i="1289" a="1"/>
  <c r="G8" i="1289" s="1"/>
  <c r="E8" i="1289" a="1"/>
  <c r="E8" i="1289" s="1"/>
  <c r="F8" i="1289" a="1"/>
  <c r="F8" i="1289" s="1"/>
  <c r="G7" i="1289" a="1"/>
  <c r="G7" i="1289" s="1"/>
  <c r="H7" i="1289" a="1"/>
  <c r="H7" i="1289" s="1"/>
  <c r="F12" i="1288" a="1"/>
  <c r="F12" i="1288" s="1"/>
  <c r="E12" i="1288" a="1"/>
  <c r="E12" i="1288" s="1"/>
  <c r="H12" i="1288" a="1"/>
  <c r="H12" i="1288" s="1"/>
  <c r="G12" i="1288" a="1"/>
  <c r="G12" i="1288" s="1"/>
  <c r="H11" i="1288" a="1"/>
  <c r="H11" i="1288" s="1"/>
  <c r="G11" i="1288" a="1"/>
  <c r="G11" i="1288" s="1"/>
  <c r="F11" i="1288" a="1"/>
  <c r="F11" i="1288" s="1"/>
  <c r="E11" i="1288" a="1"/>
  <c r="E11" i="1288" s="1"/>
  <c r="H8" i="1288" a="1"/>
  <c r="H8" i="1288" s="1"/>
  <c r="F8" i="1288" a="1"/>
  <c r="F8" i="1288" s="1"/>
  <c r="G8" i="1288" a="1"/>
  <c r="G8" i="1288" s="1"/>
  <c r="E8" i="1288" a="1"/>
  <c r="E8" i="1288" s="1"/>
  <c r="G10" i="1288" a="1"/>
  <c r="G10" i="1288" s="1"/>
  <c r="F10" i="1288" a="1"/>
  <c r="F10" i="1288" s="1"/>
  <c r="E10" i="1288" a="1"/>
  <c r="E10" i="1288" s="1"/>
  <c r="H10" i="1288" a="1"/>
  <c r="H10" i="1288" s="1"/>
  <c r="G6" i="1288" a="1"/>
  <c r="G6" i="1288" s="1"/>
  <c r="F9" i="1288" a="1"/>
  <c r="F9" i="1288" s="1"/>
  <c r="E9" i="1288" a="1"/>
  <c r="E9" i="1288" s="1"/>
  <c r="H9" i="1288" a="1"/>
  <c r="H9" i="1288" s="1"/>
  <c r="G9" i="1288" a="1"/>
  <c r="G9" i="1288" s="1"/>
  <c r="G7" i="1288" a="1"/>
  <c r="G7" i="1288" s="1"/>
  <c r="E7" i="1288" a="1"/>
  <c r="E7" i="1288" s="1"/>
  <c r="F7" i="1288" a="1"/>
  <c r="F7" i="1288" s="1"/>
  <c r="H7" i="1288" a="1"/>
  <c r="H7" i="1288" s="1"/>
  <c r="D4" i="1287" a="1"/>
  <c r="D4" i="1287" s="1"/>
  <c r="D11" i="1287" a="1"/>
  <c r="D11" i="1287" s="1"/>
  <c r="D8" i="1287" a="1"/>
  <c r="D8" i="1287" s="1"/>
  <c r="D7" i="1287" a="1"/>
  <c r="D7" i="1287" s="1"/>
  <c r="D3" i="1287" a="1"/>
  <c r="D3" i="1287" s="1"/>
  <c r="D5" i="1287" a="1"/>
  <c r="D5" i="1287" s="1"/>
  <c r="D12" i="1287" a="1"/>
  <c r="D12" i="1287" s="1"/>
  <c r="D9" i="1287" a="1"/>
  <c r="D9" i="1287" s="1"/>
  <c r="D6" i="1287" a="1"/>
  <c r="D6" i="1287" s="1"/>
  <c r="D10" i="1287" a="1"/>
  <c r="D10" i="1287" s="1"/>
  <c r="F9" i="1286" a="1"/>
  <c r="F9" i="1286" s="1"/>
  <c r="E9" i="1286" a="1"/>
  <c r="E9" i="1286" s="1"/>
  <c r="H9" i="1286" a="1"/>
  <c r="H9" i="1286" s="1"/>
  <c r="G9" i="1286" a="1"/>
  <c r="G9" i="1286" s="1"/>
  <c r="H11" i="1286" a="1"/>
  <c r="H11" i="1286" s="1"/>
  <c r="E11" i="1286" a="1"/>
  <c r="E11" i="1286" s="1"/>
  <c r="G11" i="1286" a="1"/>
  <c r="G11" i="1286" s="1"/>
  <c r="F11" i="1286" a="1"/>
  <c r="F11" i="1286" s="1"/>
  <c r="F12" i="1286" a="1"/>
  <c r="F12" i="1286" s="1"/>
  <c r="E12" i="1286" a="1"/>
  <c r="E12" i="1286" s="1"/>
  <c r="H12" i="1286" a="1"/>
  <c r="H12" i="1286" s="1"/>
  <c r="G12" i="1286" a="1"/>
  <c r="G12" i="1286" s="1"/>
  <c r="G7" i="1286" a="1"/>
  <c r="G7" i="1286" s="1"/>
  <c r="F7" i="1286" a="1"/>
  <c r="F7" i="1286" s="1"/>
  <c r="E7" i="1286" a="1"/>
  <c r="E7" i="1286" s="1"/>
  <c r="H7" i="1286" a="1"/>
  <c r="H7" i="1286" s="1"/>
  <c r="E8" i="1286" a="1"/>
  <c r="E8" i="1286" s="1"/>
  <c r="H8" i="1286" a="1"/>
  <c r="H8" i="1286" s="1"/>
  <c r="G8" i="1286" a="1"/>
  <c r="G8" i="1286" s="1"/>
  <c r="F8" i="1286" a="1"/>
  <c r="F8" i="1286" s="1"/>
  <c r="G10" i="1286" a="1"/>
  <c r="G10" i="1286" s="1"/>
  <c r="F10" i="1286" a="1"/>
  <c r="F10" i="1286" s="1"/>
  <c r="E10" i="1286" a="1"/>
  <c r="E10" i="1286" s="1"/>
  <c r="H10" i="1286" a="1"/>
  <c r="H10" i="1286" s="1"/>
  <c r="D4" i="1285" a="1"/>
  <c r="D4" i="1285" s="1"/>
  <c r="D8" i="1285" a="1"/>
  <c r="D8" i="1285" s="1"/>
  <c r="D5" i="1285" a="1"/>
  <c r="D5" i="1285" s="1"/>
  <c r="D6" i="1285" a="1"/>
  <c r="D6" i="1285" s="1"/>
  <c r="D12" i="1285" a="1"/>
  <c r="D12" i="1285" s="1"/>
  <c r="D9" i="1285" a="1"/>
  <c r="D9" i="1285" s="1"/>
  <c r="D10" i="1285" a="1"/>
  <c r="D10" i="1285" s="1"/>
  <c r="D3" i="1285" a="1"/>
  <c r="D3" i="1285" s="1"/>
  <c r="D11" i="1285" a="1"/>
  <c r="D11" i="1285" s="1"/>
  <c r="D7" i="1285" a="1"/>
  <c r="D7" i="1285" s="1"/>
  <c r="D8" i="1284" a="1"/>
  <c r="D8" i="1284" s="1"/>
  <c r="D5" i="1284" a="1"/>
  <c r="D5" i="1284" s="1"/>
  <c r="D3" i="1284" a="1"/>
  <c r="D3" i="1284" s="1"/>
  <c r="D12" i="1284" a="1"/>
  <c r="D12" i="1284" s="1"/>
  <c r="D9" i="1284" a="1"/>
  <c r="D9" i="1284" s="1"/>
  <c r="D6" i="1284" a="1"/>
  <c r="D6" i="1284" s="1"/>
  <c r="D10" i="1284" a="1"/>
  <c r="D10" i="1284" s="1"/>
  <c r="D7" i="1284" a="1"/>
  <c r="D7" i="1284" s="1"/>
  <c r="D4" i="1284" a="1"/>
  <c r="D4" i="1284" s="1"/>
  <c r="D11" i="1284" a="1"/>
  <c r="D11" i="1284" s="1"/>
  <c r="H8" i="1283" a="1"/>
  <c r="H8" i="1283" s="1"/>
  <c r="G8" i="1283" a="1"/>
  <c r="G8" i="1283" s="1"/>
  <c r="F8" i="1283" a="1"/>
  <c r="F8" i="1283" s="1"/>
  <c r="E8" i="1283" a="1"/>
  <c r="E8" i="1283" s="1"/>
  <c r="F11" i="1283" a="1"/>
  <c r="F11" i="1283" s="1"/>
  <c r="G11" i="1283" a="1"/>
  <c r="G11" i="1283" s="1"/>
  <c r="H11" i="1283" a="1"/>
  <c r="H11" i="1283" s="1"/>
  <c r="E11" i="1283" a="1"/>
  <c r="E11" i="1283" s="1"/>
  <c r="G10" i="1283" a="1"/>
  <c r="G10" i="1283" s="1"/>
  <c r="F10" i="1283" a="1"/>
  <c r="F10" i="1283" s="1"/>
  <c r="E10" i="1283" a="1"/>
  <c r="E10" i="1283" s="1"/>
  <c r="H10" i="1283" a="1"/>
  <c r="H10" i="1283" s="1"/>
  <c r="F9" i="1283" a="1"/>
  <c r="F9" i="1283" s="1"/>
  <c r="E9" i="1283" a="1"/>
  <c r="E9" i="1283" s="1"/>
  <c r="H9" i="1283" a="1"/>
  <c r="H9" i="1283" s="1"/>
  <c r="G9" i="1283" a="1"/>
  <c r="G9" i="1283" s="1"/>
  <c r="F12" i="1283" a="1"/>
  <c r="F12" i="1283" s="1"/>
  <c r="E12" i="1283" a="1"/>
  <c r="E12" i="1283" s="1"/>
  <c r="H12" i="1283" a="1"/>
  <c r="H12" i="1283" s="1"/>
  <c r="G12" i="1283" a="1"/>
  <c r="G12" i="1283" s="1"/>
  <c r="D4" i="1282" a="1"/>
  <c r="D4" i="1282" s="1"/>
  <c r="D11" i="1282" a="1"/>
  <c r="D11" i="1282" s="1"/>
  <c r="D8" i="1282" a="1"/>
  <c r="D8" i="1282" s="1"/>
  <c r="D5" i="1282" a="1"/>
  <c r="D5" i="1282" s="1"/>
  <c r="D12" i="1282" a="1"/>
  <c r="D12" i="1282" s="1"/>
  <c r="D9" i="1282" a="1"/>
  <c r="D9" i="1282" s="1"/>
  <c r="D6" i="1282" a="1"/>
  <c r="D6" i="1282" s="1"/>
  <c r="D10" i="1282" a="1"/>
  <c r="D10" i="1282" s="1"/>
  <c r="D3" i="1282" a="1"/>
  <c r="D3" i="1282" s="1"/>
  <c r="D7" i="1282" a="1"/>
  <c r="D7" i="1282" s="1"/>
  <c r="D11" i="1281" a="1"/>
  <c r="D11" i="1281" s="1"/>
  <c r="D8" i="1281" a="1"/>
  <c r="D8" i="1281" s="1"/>
  <c r="D5" i="1281" a="1"/>
  <c r="D5" i="1281" s="1"/>
  <c r="D12" i="1281" a="1"/>
  <c r="D12" i="1281" s="1"/>
  <c r="D9" i="1281" a="1"/>
  <c r="D9" i="1281" s="1"/>
  <c r="D6" i="1281" a="1"/>
  <c r="D6" i="1281" s="1"/>
  <c r="D10" i="1281" a="1"/>
  <c r="D10" i="1281" s="1"/>
  <c r="D3" i="1281" a="1"/>
  <c r="D3" i="1281" s="1"/>
  <c r="D7" i="1281" a="1"/>
  <c r="D7" i="1281" s="1"/>
  <c r="D4" i="1281" a="1"/>
  <c r="D4" i="1281" s="1"/>
  <c r="G8" i="1280" a="1"/>
  <c r="G8" i="1280" s="1"/>
  <c r="F8" i="1280" a="1"/>
  <c r="F8" i="1280" s="1"/>
  <c r="E8" i="1280" a="1"/>
  <c r="E8" i="1280" s="1"/>
  <c r="H8" i="1280" a="1"/>
  <c r="H8" i="1280" s="1"/>
  <c r="F12" i="1280" a="1"/>
  <c r="F12" i="1280" s="1"/>
  <c r="E12" i="1280" a="1"/>
  <c r="E12" i="1280" s="1"/>
  <c r="H12" i="1280" a="1"/>
  <c r="H12" i="1280" s="1"/>
  <c r="G12" i="1280" a="1"/>
  <c r="G12" i="1280" s="1"/>
  <c r="G11" i="1280" a="1"/>
  <c r="G11" i="1280" s="1"/>
  <c r="F11" i="1280" a="1"/>
  <c r="F11" i="1280" s="1"/>
  <c r="E11" i="1280" a="1"/>
  <c r="E11" i="1280" s="1"/>
  <c r="H11" i="1280" a="1"/>
  <c r="H11" i="1280" s="1"/>
  <c r="G7" i="1280" a="1"/>
  <c r="G7" i="1280" s="1"/>
  <c r="H7" i="1280" a="1"/>
  <c r="H7" i="1280" s="1"/>
  <c r="F10" i="1280" a="1"/>
  <c r="F10" i="1280" s="1"/>
  <c r="E10" i="1280" a="1"/>
  <c r="E10" i="1280" s="1"/>
  <c r="H10" i="1280" a="1"/>
  <c r="H10" i="1280" s="1"/>
  <c r="G10" i="1280" a="1"/>
  <c r="G10" i="1280" s="1"/>
  <c r="E9" i="1280" a="1"/>
  <c r="E9" i="1280" s="1"/>
  <c r="H9" i="1280" a="1"/>
  <c r="H9" i="1280" s="1"/>
  <c r="G9" i="1280" a="1"/>
  <c r="G9" i="1280" s="1"/>
  <c r="F9" i="1280" a="1"/>
  <c r="F9" i="1280" s="1"/>
  <c r="D4" i="1279" a="1"/>
  <c r="D4" i="1279" s="1"/>
  <c r="D11" i="1279" a="1"/>
  <c r="D11" i="1279" s="1"/>
  <c r="D8" i="1279" a="1"/>
  <c r="D8" i="1279" s="1"/>
  <c r="D5" i="1279" a="1"/>
  <c r="D5" i="1279" s="1"/>
  <c r="D12" i="1279" a="1"/>
  <c r="D12" i="1279" s="1"/>
  <c r="D9" i="1279" a="1"/>
  <c r="D9" i="1279" s="1"/>
  <c r="D6" i="1279" a="1"/>
  <c r="D6" i="1279" s="1"/>
  <c r="D3" i="1279" a="1"/>
  <c r="D3" i="1279" s="1"/>
  <c r="D10" i="1279" a="1"/>
  <c r="D10" i="1279" s="1"/>
  <c r="D7" i="1279" a="1"/>
  <c r="D7" i="1279" s="1"/>
  <c r="AB3" i="1182"/>
  <c r="E13" i="1182"/>
  <c r="E3" i="1182"/>
  <c r="E15" i="1182" s="1"/>
  <c r="E2" i="1182"/>
  <c r="E14" i="1182" s="1"/>
  <c r="B4" i="1182"/>
  <c r="A4" i="1182"/>
  <c r="B3" i="1182"/>
  <c r="A3" i="1182"/>
  <c r="B2" i="1182"/>
  <c r="A2" i="1182"/>
  <c r="B1" i="1182"/>
  <c r="AB1" i="1182" s="1"/>
  <c r="A1" i="1182"/>
  <c r="X22" i="757"/>
  <c r="W22" i="757"/>
  <c r="X21" i="757"/>
  <c r="W21" i="757"/>
  <c r="X20" i="757"/>
  <c r="W20" i="757"/>
  <c r="X19" i="757"/>
  <c r="W19" i="757"/>
  <c r="L7" i="757"/>
  <c r="L6" i="757"/>
  <c r="L5" i="757"/>
  <c r="L4" i="757"/>
  <c r="B18" i="3"/>
  <c r="B17" i="3"/>
  <c r="A18" i="3"/>
  <c r="A17" i="3"/>
  <c r="A16" i="3"/>
  <c r="A15" i="3"/>
  <c r="B15" i="3"/>
  <c r="B16" i="3"/>
  <c r="E5" i="1" a="1"/>
  <c r="E3" i="1" a="1"/>
  <c r="D9" i="1" a="1"/>
  <c r="E11" i="1" a="1"/>
  <c r="D10" i="1" a="1"/>
  <c r="E8" i="1" a="1"/>
  <c r="D5" i="1" a="1"/>
  <c r="E9" i="1" a="1"/>
  <c r="D7" i="1" a="1"/>
  <c r="D12" i="1" a="1"/>
  <c r="E12" i="1" a="1"/>
  <c r="E13" i="1" a="1"/>
  <c r="D11" i="1" a="1"/>
  <c r="D4" i="1" a="1"/>
  <c r="E10" i="1" a="1"/>
  <c r="E14" i="1" a="1"/>
  <c r="E7" i="1" a="1"/>
  <c r="D3" i="1" a="1"/>
  <c r="E6" i="1" a="1"/>
  <c r="D13" i="1" a="1"/>
  <c r="E4" i="1" a="1"/>
  <c r="D6" i="1" a="1"/>
  <c r="D8" i="1" a="1"/>
  <c r="D14" i="1" a="1"/>
  <c r="AA6" i="1182" l="1"/>
  <c r="AC10" i="1182"/>
  <c r="AC11" i="1182"/>
  <c r="AC12" i="1182"/>
  <c r="AC13" i="1182"/>
  <c r="AC14" i="1182"/>
  <c r="AC15" i="1182"/>
  <c r="AC16" i="1182"/>
  <c r="AC17" i="1182"/>
  <c r="AC18" i="1182"/>
  <c r="AC19" i="1182"/>
  <c r="AC20" i="1182"/>
  <c r="AC21" i="1182"/>
  <c r="AC22" i="1182"/>
  <c r="AC23" i="1182"/>
  <c r="AC24" i="1182"/>
  <c r="AC25" i="1182"/>
  <c r="AC26" i="1182"/>
  <c r="AC27" i="1182"/>
  <c r="AC28" i="1182"/>
  <c r="AC29" i="1182"/>
  <c r="AC30" i="1182"/>
  <c r="AC31" i="1182"/>
  <c r="AC32" i="1182"/>
  <c r="AC33" i="1182"/>
  <c r="AC34" i="1182"/>
  <c r="AC35" i="1182"/>
  <c r="AC36" i="1182"/>
  <c r="AC37" i="1182"/>
  <c r="AC38" i="1182"/>
  <c r="AC39" i="1182"/>
  <c r="AC40" i="1182"/>
  <c r="AA11" i="1182"/>
  <c r="AA12" i="1182"/>
  <c r="AA13" i="1182"/>
  <c r="AA14" i="1182"/>
  <c r="AA15" i="1182"/>
  <c r="AA16" i="1182"/>
  <c r="AA17" i="1182"/>
  <c r="AA18" i="1182"/>
  <c r="AA19" i="1182"/>
  <c r="AA20" i="1182"/>
  <c r="AA21" i="1182"/>
  <c r="AA22" i="1182"/>
  <c r="AA23" i="1182"/>
  <c r="AA24" i="1182"/>
  <c r="AA25" i="1182"/>
  <c r="AA26" i="1182"/>
  <c r="AA27" i="1182"/>
  <c r="AA28" i="1182"/>
  <c r="AA29" i="1182"/>
  <c r="AA30" i="1182"/>
  <c r="AA31" i="1182"/>
  <c r="AA32" i="1182"/>
  <c r="AA33" i="1182"/>
  <c r="AA34" i="1182"/>
  <c r="AA35" i="1182"/>
  <c r="AA36" i="1182"/>
  <c r="AA37" i="1182"/>
  <c r="AA38" i="1182"/>
  <c r="AA39" i="1182"/>
  <c r="AA40" i="1182"/>
  <c r="G4" i="1281" a="1"/>
  <c r="G4" i="1281" s="1"/>
  <c r="G13" i="1283"/>
  <c r="G14" i="1283" s="1"/>
  <c r="H13" i="1283"/>
  <c r="E13" i="1283"/>
  <c r="F13" i="1283"/>
  <c r="H13" i="1286"/>
  <c r="E13" i="1286"/>
  <c r="F13" i="1286"/>
  <c r="G13" i="1286"/>
  <c r="H13" i="1288"/>
  <c r="E13" i="1288"/>
  <c r="F13" i="1288"/>
  <c r="G13" i="1288"/>
  <c r="H13" i="1289"/>
  <c r="E13" i="1289"/>
  <c r="F13" i="1289"/>
  <c r="G13" i="1289"/>
  <c r="H13" i="1280"/>
  <c r="H14" i="1280" s="1"/>
  <c r="G13" i="1280"/>
  <c r="G14" i="1280" s="1"/>
  <c r="F13" i="1280"/>
  <c r="F14" i="1280" s="1"/>
  <c r="H4" i="1279" a="1"/>
  <c r="H4" i="1279" s="1"/>
  <c r="G7" i="1279" a="1"/>
  <c r="G7" i="1279" s="1"/>
  <c r="H7" i="1279" a="1"/>
  <c r="H7" i="1279" s="1"/>
  <c r="G6" i="1279" a="1"/>
  <c r="G6" i="1279" s="1"/>
  <c r="H6" i="1279" a="1"/>
  <c r="H6" i="1279" s="1"/>
  <c r="F7" i="1279" a="1"/>
  <c r="F7" i="1279" s="1"/>
  <c r="E7" i="1279" a="1"/>
  <c r="E7" i="1279" s="1"/>
  <c r="E13" i="1280"/>
  <c r="G14" i="1288"/>
  <c r="AA7" i="1182"/>
  <c r="AA10" i="1182"/>
  <c r="F6" i="1290" a="1"/>
  <c r="F6" i="1290" s="1"/>
  <c r="E6" i="1290" a="1"/>
  <c r="E6" i="1290" s="1"/>
  <c r="H6" i="1290" a="1"/>
  <c r="H6" i="1290" s="1"/>
  <c r="G6" i="1290" a="1"/>
  <c r="G6" i="1290" s="1"/>
  <c r="F9" i="1290" a="1"/>
  <c r="F9" i="1290" s="1"/>
  <c r="E9" i="1290" a="1"/>
  <c r="E9" i="1290" s="1"/>
  <c r="H9" i="1290" a="1"/>
  <c r="H9" i="1290" s="1"/>
  <c r="G9" i="1290" a="1"/>
  <c r="G9" i="1290" s="1"/>
  <c r="F12" i="1290" a="1"/>
  <c r="F12" i="1290" s="1"/>
  <c r="E12" i="1290" a="1"/>
  <c r="E12" i="1290" s="1"/>
  <c r="H12" i="1290" a="1"/>
  <c r="H12" i="1290" s="1"/>
  <c r="G12" i="1290" a="1"/>
  <c r="G12" i="1290" s="1"/>
  <c r="G7" i="1290" a="1"/>
  <c r="G7" i="1290" s="1"/>
  <c r="F7" i="1290" a="1"/>
  <c r="F7" i="1290" s="1"/>
  <c r="H7" i="1290" a="1"/>
  <c r="H7" i="1290" s="1"/>
  <c r="E7" i="1290" a="1"/>
  <c r="E7" i="1290" s="1"/>
  <c r="E8" i="1290" a="1"/>
  <c r="E8" i="1290" s="1"/>
  <c r="H8" i="1290" a="1"/>
  <c r="H8" i="1290" s="1"/>
  <c r="G8" i="1290" a="1"/>
  <c r="G8" i="1290" s="1"/>
  <c r="F8" i="1290" a="1"/>
  <c r="F8" i="1290" s="1"/>
  <c r="I4" i="1289"/>
  <c r="E11" i="1290" a="1"/>
  <c r="E11" i="1290" s="1"/>
  <c r="H11" i="1290" a="1"/>
  <c r="H11" i="1290" s="1"/>
  <c r="G11" i="1290" a="1"/>
  <c r="G11" i="1290" s="1"/>
  <c r="F11" i="1290" a="1"/>
  <c r="F11" i="1290" s="1"/>
  <c r="G10" i="1290" a="1"/>
  <c r="G10" i="1290" s="1"/>
  <c r="F10" i="1290" a="1"/>
  <c r="F10" i="1290" s="1"/>
  <c r="E10" i="1290" a="1"/>
  <c r="E10" i="1290" s="1"/>
  <c r="H10" i="1290" a="1"/>
  <c r="H10" i="1290" s="1"/>
  <c r="I10" i="1289"/>
  <c r="I12" i="1289"/>
  <c r="I7" i="1289"/>
  <c r="I6" i="1289"/>
  <c r="I5" i="1289"/>
  <c r="I11" i="1289"/>
  <c r="H14" i="1289"/>
  <c r="I3" i="1289"/>
  <c r="I8" i="1289"/>
  <c r="F14" i="1289"/>
  <c r="I9" i="1289"/>
  <c r="G14" i="1289"/>
  <c r="I9" i="1288"/>
  <c r="H14" i="1288"/>
  <c r="I11" i="1288"/>
  <c r="I4" i="1288"/>
  <c r="I3" i="1288"/>
  <c r="I7" i="1288"/>
  <c r="I6" i="1288"/>
  <c r="F14" i="1288"/>
  <c r="I8" i="1288"/>
  <c r="I10" i="1288"/>
  <c r="I5" i="1288"/>
  <c r="I12" i="1288"/>
  <c r="F9" i="1287" a="1"/>
  <c r="F9" i="1287" s="1"/>
  <c r="G9" i="1287" a="1"/>
  <c r="G9" i="1287" s="1"/>
  <c r="E9" i="1287" a="1"/>
  <c r="E9" i="1287" s="1"/>
  <c r="H9" i="1287" a="1"/>
  <c r="H9" i="1287" s="1"/>
  <c r="F12" i="1287" a="1"/>
  <c r="F12" i="1287" s="1"/>
  <c r="E12" i="1287" a="1"/>
  <c r="E12" i="1287" s="1"/>
  <c r="H12" i="1287" a="1"/>
  <c r="H12" i="1287" s="1"/>
  <c r="G12" i="1287" a="1"/>
  <c r="G12" i="1287" s="1"/>
  <c r="G7" i="1287" a="1"/>
  <c r="G7" i="1287" s="1"/>
  <c r="F7" i="1287" a="1"/>
  <c r="F7" i="1287" s="1"/>
  <c r="H7" i="1287" a="1"/>
  <c r="H7" i="1287" s="1"/>
  <c r="E7" i="1287" a="1"/>
  <c r="E7" i="1287" s="1"/>
  <c r="E8" i="1287" a="1"/>
  <c r="E8" i="1287" s="1"/>
  <c r="H8" i="1287" a="1"/>
  <c r="H8" i="1287" s="1"/>
  <c r="G8" i="1287" a="1"/>
  <c r="G8" i="1287" s="1"/>
  <c r="F8" i="1287" a="1"/>
  <c r="F8" i="1287" s="1"/>
  <c r="I4" i="1286"/>
  <c r="G10" i="1287" a="1"/>
  <c r="G10" i="1287" s="1"/>
  <c r="H10" i="1287" a="1"/>
  <c r="H10" i="1287" s="1"/>
  <c r="F10" i="1287" a="1"/>
  <c r="F10" i="1287" s="1"/>
  <c r="E10" i="1287" a="1"/>
  <c r="E10" i="1287" s="1"/>
  <c r="H11" i="1287" a="1"/>
  <c r="H11" i="1287" s="1"/>
  <c r="E11" i="1287" a="1"/>
  <c r="E11" i="1287" s="1"/>
  <c r="G11" i="1287" a="1"/>
  <c r="G11" i="1287" s="1"/>
  <c r="F11" i="1287" a="1"/>
  <c r="F11" i="1287" s="1"/>
  <c r="H6" i="1287" a="1"/>
  <c r="H6" i="1287" s="1"/>
  <c r="I9" i="1286"/>
  <c r="I8" i="1286"/>
  <c r="I5" i="1286"/>
  <c r="I12" i="1286"/>
  <c r="H14" i="1286"/>
  <c r="I10" i="1286"/>
  <c r="I7" i="1286"/>
  <c r="I3" i="1286"/>
  <c r="F14" i="1286"/>
  <c r="I11" i="1286"/>
  <c r="I6" i="1286"/>
  <c r="G14" i="1286"/>
  <c r="H11" i="1285" a="1"/>
  <c r="H11" i="1285" s="1"/>
  <c r="G11" i="1285" a="1"/>
  <c r="G11" i="1285" s="1"/>
  <c r="F11" i="1285" a="1"/>
  <c r="F11" i="1285" s="1"/>
  <c r="E11" i="1285" a="1"/>
  <c r="E11" i="1285" s="1"/>
  <c r="H3" i="1285" a="1"/>
  <c r="H3" i="1285" s="1"/>
  <c r="G10" i="1285" a="1"/>
  <c r="G10" i="1285" s="1"/>
  <c r="F10" i="1285" a="1"/>
  <c r="F10" i="1285" s="1"/>
  <c r="E10" i="1285" a="1"/>
  <c r="E10" i="1285" s="1"/>
  <c r="H10" i="1285" a="1"/>
  <c r="H10" i="1285" s="1"/>
  <c r="F9" i="1285" a="1"/>
  <c r="F9" i="1285" s="1"/>
  <c r="H9" i="1285" a="1"/>
  <c r="H9" i="1285" s="1"/>
  <c r="G9" i="1285" a="1"/>
  <c r="G9" i="1285" s="1"/>
  <c r="E9" i="1285" a="1"/>
  <c r="E9" i="1285" s="1"/>
  <c r="F12" i="1285" a="1"/>
  <c r="F12" i="1285" s="1"/>
  <c r="H12" i="1285" a="1"/>
  <c r="H12" i="1285" s="1"/>
  <c r="G12" i="1285" a="1"/>
  <c r="G12" i="1285" s="1"/>
  <c r="E12" i="1285" a="1"/>
  <c r="E12" i="1285" s="1"/>
  <c r="G8" i="1285" a="1"/>
  <c r="G8" i="1285" s="1"/>
  <c r="F8" i="1285" a="1"/>
  <c r="F8" i="1285" s="1"/>
  <c r="H8" i="1285" a="1"/>
  <c r="H8" i="1285" s="1"/>
  <c r="E8" i="1285" a="1"/>
  <c r="E8" i="1285" s="1"/>
  <c r="H7" i="1285" a="1"/>
  <c r="H7" i="1285" s="1"/>
  <c r="G7" i="1285" a="1"/>
  <c r="G7" i="1285" s="1"/>
  <c r="G4" i="1285" a="1"/>
  <c r="G4" i="1285" s="1"/>
  <c r="F7" i="1284" a="1"/>
  <c r="F7" i="1284" s="1"/>
  <c r="E7" i="1284" a="1"/>
  <c r="E7" i="1284" s="1"/>
  <c r="H7" i="1284" a="1"/>
  <c r="H7" i="1284" s="1"/>
  <c r="G7" i="1284" a="1"/>
  <c r="G7" i="1284" s="1"/>
  <c r="H11" i="1284" a="1"/>
  <c r="H11" i="1284" s="1"/>
  <c r="G11" i="1284" a="1"/>
  <c r="G11" i="1284" s="1"/>
  <c r="F11" i="1284" a="1"/>
  <c r="F11" i="1284" s="1"/>
  <c r="F13" i="1284" s="1"/>
  <c r="E11" i="1284" a="1"/>
  <c r="E11" i="1284" s="1"/>
  <c r="H8" i="1284" a="1"/>
  <c r="H8" i="1284" s="1"/>
  <c r="G8" i="1284" a="1"/>
  <c r="G8" i="1284" s="1"/>
  <c r="F8" i="1284" a="1"/>
  <c r="F8" i="1284" s="1"/>
  <c r="E8" i="1284" a="1"/>
  <c r="E8" i="1284" s="1"/>
  <c r="G10" i="1284" a="1"/>
  <c r="G10" i="1284" s="1"/>
  <c r="F10" i="1284" a="1"/>
  <c r="F10" i="1284" s="1"/>
  <c r="E10" i="1284" a="1"/>
  <c r="E10" i="1284" s="1"/>
  <c r="H10" i="1284" a="1"/>
  <c r="H10" i="1284" s="1"/>
  <c r="I10" i="1283"/>
  <c r="I4" i="1283"/>
  <c r="F9" i="1284" a="1"/>
  <c r="F9" i="1284" s="1"/>
  <c r="H9" i="1284" a="1"/>
  <c r="H9" i="1284" s="1"/>
  <c r="G9" i="1284" a="1"/>
  <c r="G9" i="1284" s="1"/>
  <c r="E9" i="1284" a="1"/>
  <c r="E9" i="1284" s="1"/>
  <c r="E13" i="1284" s="1"/>
  <c r="F12" i="1284" a="1"/>
  <c r="F12" i="1284" s="1"/>
  <c r="E12" i="1284" a="1"/>
  <c r="E12" i="1284" s="1"/>
  <c r="H12" i="1284" a="1"/>
  <c r="H12" i="1284" s="1"/>
  <c r="G12" i="1284" a="1"/>
  <c r="G12" i="1284" s="1"/>
  <c r="G3" i="1284" a="1"/>
  <c r="G3" i="1284" s="1"/>
  <c r="H3" i="1284" a="1"/>
  <c r="H3" i="1284" s="1"/>
  <c r="I5" i="1283"/>
  <c r="H14" i="1283"/>
  <c r="I8" i="1283"/>
  <c r="I6" i="1283"/>
  <c r="I7" i="1283"/>
  <c r="I12" i="1283"/>
  <c r="I3" i="1283"/>
  <c r="F14" i="1283"/>
  <c r="I11" i="1283"/>
  <c r="I9" i="1283"/>
  <c r="H8" i="1282" a="1"/>
  <c r="H8" i="1282" s="1"/>
  <c r="G8" i="1282" a="1"/>
  <c r="G8" i="1282" s="1"/>
  <c r="F8" i="1282" a="1"/>
  <c r="F8" i="1282" s="1"/>
  <c r="E8" i="1282" a="1"/>
  <c r="E8" i="1282" s="1"/>
  <c r="F7" i="1282" a="1"/>
  <c r="F7" i="1282" s="1"/>
  <c r="E7" i="1282" a="1"/>
  <c r="E7" i="1282" s="1"/>
  <c r="H7" i="1282" a="1"/>
  <c r="H7" i="1282" s="1"/>
  <c r="G7" i="1282" a="1"/>
  <c r="G7" i="1282" s="1"/>
  <c r="H11" i="1282" a="1"/>
  <c r="H11" i="1282" s="1"/>
  <c r="G11" i="1282" a="1"/>
  <c r="G11" i="1282" s="1"/>
  <c r="F11" i="1282" a="1"/>
  <c r="F11" i="1282" s="1"/>
  <c r="E11" i="1282" a="1"/>
  <c r="E11" i="1282" s="1"/>
  <c r="H4" i="1282" a="1"/>
  <c r="H4" i="1282" s="1"/>
  <c r="G4" i="1282" a="1"/>
  <c r="G4" i="1282" s="1"/>
  <c r="G10" i="1282" a="1"/>
  <c r="G10" i="1282" s="1"/>
  <c r="E10" i="1282" a="1"/>
  <c r="E10" i="1282" s="1"/>
  <c r="H10" i="1282" a="1"/>
  <c r="H10" i="1282" s="1"/>
  <c r="F10" i="1282" a="1"/>
  <c r="F10" i="1282" s="1"/>
  <c r="F9" i="1282" a="1"/>
  <c r="F9" i="1282" s="1"/>
  <c r="H9" i="1282" a="1"/>
  <c r="H9" i="1282" s="1"/>
  <c r="E9" i="1282" a="1"/>
  <c r="E9" i="1282" s="1"/>
  <c r="G9" i="1282" a="1"/>
  <c r="G9" i="1282" s="1"/>
  <c r="F12" i="1282" a="1"/>
  <c r="F12" i="1282" s="1"/>
  <c r="H12" i="1282" a="1"/>
  <c r="H12" i="1282" s="1"/>
  <c r="G12" i="1282" a="1"/>
  <c r="G12" i="1282" s="1"/>
  <c r="E12" i="1282" a="1"/>
  <c r="E12" i="1282" s="1"/>
  <c r="G5" i="1282" a="1"/>
  <c r="G5" i="1282" s="1"/>
  <c r="H8" i="1281" a="1"/>
  <c r="H8" i="1281" s="1"/>
  <c r="G8" i="1281" a="1"/>
  <c r="G8" i="1281" s="1"/>
  <c r="F8" i="1281" a="1"/>
  <c r="F8" i="1281" s="1"/>
  <c r="E8" i="1281" a="1"/>
  <c r="E8" i="1281" s="1"/>
  <c r="I5" i="1280"/>
  <c r="I4" i="1280"/>
  <c r="G7" i="1281" a="1"/>
  <c r="G7" i="1281" s="1"/>
  <c r="H7" i="1281" a="1"/>
  <c r="H7" i="1281" s="1"/>
  <c r="H11" i="1281" a="1"/>
  <c r="H11" i="1281" s="1"/>
  <c r="G11" i="1281" a="1"/>
  <c r="G11" i="1281" s="1"/>
  <c r="F11" i="1281" a="1"/>
  <c r="F11" i="1281" s="1"/>
  <c r="E11" i="1281" a="1"/>
  <c r="E11" i="1281" s="1"/>
  <c r="F10" i="1281" a="1"/>
  <c r="F10" i="1281" s="1"/>
  <c r="E10" i="1281" a="1"/>
  <c r="E10" i="1281" s="1"/>
  <c r="H10" i="1281" a="1"/>
  <c r="H10" i="1281" s="1"/>
  <c r="G10" i="1281" a="1"/>
  <c r="G10" i="1281" s="1"/>
  <c r="E9" i="1281" a="1"/>
  <c r="E9" i="1281" s="1"/>
  <c r="H9" i="1281" a="1"/>
  <c r="H9" i="1281" s="1"/>
  <c r="G9" i="1281" a="1"/>
  <c r="G9" i="1281" s="1"/>
  <c r="F9" i="1281" a="1"/>
  <c r="F9" i="1281" s="1"/>
  <c r="E12" i="1281" a="1"/>
  <c r="E12" i="1281" s="1"/>
  <c r="H12" i="1281" a="1"/>
  <c r="H12" i="1281" s="1"/>
  <c r="G12" i="1281" a="1"/>
  <c r="G12" i="1281" s="1"/>
  <c r="F12" i="1281" a="1"/>
  <c r="F12" i="1281" s="1"/>
  <c r="I8" i="1280"/>
  <c r="I11" i="1280"/>
  <c r="I7" i="1280"/>
  <c r="I3" i="1280"/>
  <c r="I12" i="1280"/>
  <c r="I9" i="1280"/>
  <c r="I6" i="1280"/>
  <c r="I10" i="1280"/>
  <c r="F12" i="1279" a="1"/>
  <c r="F12" i="1279" s="1"/>
  <c r="E12" i="1279" a="1"/>
  <c r="E12" i="1279" s="1"/>
  <c r="H12" i="1279" a="1"/>
  <c r="H12" i="1279" s="1"/>
  <c r="G12" i="1279" a="1"/>
  <c r="G12" i="1279" s="1"/>
  <c r="H8" i="1279" a="1"/>
  <c r="H8" i="1279" s="1"/>
  <c r="G8" i="1279" a="1"/>
  <c r="G8" i="1279" s="1"/>
  <c r="F8" i="1279" a="1"/>
  <c r="F8" i="1279" s="1"/>
  <c r="E8" i="1279" a="1"/>
  <c r="E8" i="1279" s="1"/>
  <c r="G10" i="1279" a="1"/>
  <c r="G10" i="1279" s="1"/>
  <c r="F10" i="1279" a="1"/>
  <c r="F10" i="1279" s="1"/>
  <c r="E10" i="1279" a="1"/>
  <c r="E10" i="1279" s="1"/>
  <c r="H10" i="1279" a="1"/>
  <c r="H10" i="1279" s="1"/>
  <c r="F9" i="1279" a="1"/>
  <c r="F9" i="1279" s="1"/>
  <c r="E9" i="1279" a="1"/>
  <c r="E9" i="1279" s="1"/>
  <c r="H9" i="1279" a="1"/>
  <c r="H9" i="1279" s="1"/>
  <c r="G9" i="1279" a="1"/>
  <c r="G9" i="1279" s="1"/>
  <c r="H11" i="1279" a="1"/>
  <c r="H11" i="1279" s="1"/>
  <c r="G11" i="1279" a="1"/>
  <c r="G11" i="1279" s="1"/>
  <c r="F11" i="1279" a="1"/>
  <c r="F11" i="1279" s="1"/>
  <c r="E11" i="1279" a="1"/>
  <c r="E11" i="1279" s="1"/>
  <c r="AA8" i="1182"/>
  <c r="AA9" i="1182"/>
  <c r="AC6" i="1182"/>
  <c r="AC7" i="1182"/>
  <c r="AC8" i="1182"/>
  <c r="AC9" i="1182"/>
  <c r="E11" i="1"/>
  <c r="E7" i="1"/>
  <c r="E14" i="1"/>
  <c r="E10" i="1"/>
  <c r="E6" i="1"/>
  <c r="E13" i="1"/>
  <c r="E9" i="1"/>
  <c r="E5" i="1"/>
  <c r="E12" i="1"/>
  <c r="E8" i="1"/>
  <c r="E4" i="1"/>
  <c r="D12" i="1"/>
  <c r="D8" i="1"/>
  <c r="D4" i="1"/>
  <c r="D11" i="1"/>
  <c r="D7" i="1"/>
  <c r="D10" i="1"/>
  <c r="D14" i="1"/>
  <c r="D6" i="1"/>
  <c r="D13" i="1"/>
  <c r="D9" i="1"/>
  <c r="D5" i="1"/>
  <c r="E3" i="1"/>
  <c r="D3" i="1"/>
  <c r="D5" i="757"/>
  <c r="D6" i="757"/>
  <c r="D7" i="757"/>
  <c r="D8" i="757"/>
  <c r="D9" i="757"/>
  <c r="D10" i="757"/>
  <c r="D11" i="757"/>
  <c r="D12" i="757"/>
  <c r="D13" i="757"/>
  <c r="D14" i="757"/>
  <c r="D15" i="757"/>
  <c r="D4" i="757"/>
  <c r="H13" i="1284" l="1"/>
  <c r="G13" i="1284"/>
  <c r="F13" i="1279"/>
  <c r="E13" i="1279"/>
  <c r="H13" i="1282"/>
  <c r="F13" i="1282"/>
  <c r="E13" i="1282"/>
  <c r="G13" i="1282"/>
  <c r="G14" i="1282" s="1"/>
  <c r="F13" i="1285"/>
  <c r="G13" i="1285"/>
  <c r="H13" i="1285"/>
  <c r="E13" i="1285"/>
  <c r="E13" i="1287"/>
  <c r="F13" i="1287"/>
  <c r="H13" i="1287"/>
  <c r="G13" i="1287"/>
  <c r="G14" i="1287" s="1"/>
  <c r="H13" i="1290"/>
  <c r="E13" i="1290"/>
  <c r="F13" i="1290"/>
  <c r="G13" i="1290"/>
  <c r="M3" i="1182"/>
  <c r="M2" i="1182"/>
  <c r="F14" i="1279"/>
  <c r="H13" i="1279"/>
  <c r="H14" i="1279" s="1"/>
  <c r="G13" i="1279"/>
  <c r="G14" i="1279" s="1"/>
  <c r="G13" i="1281"/>
  <c r="G14" i="1281" s="1"/>
  <c r="E13" i="1281"/>
  <c r="H13" i="1281"/>
  <c r="H14" i="1281" s="1"/>
  <c r="F13" i="1281"/>
  <c r="F14" i="1281" s="1"/>
  <c r="H14" i="1287"/>
  <c r="G14" i="1284"/>
  <c r="G14" i="1285"/>
  <c r="G14" i="1290"/>
  <c r="I7" i="1290"/>
  <c r="I11" i="1290"/>
  <c r="I9" i="1290"/>
  <c r="H14" i="1290"/>
  <c r="I8" i="1290"/>
  <c r="I5" i="1290"/>
  <c r="I10" i="1290"/>
  <c r="I3" i="1290"/>
  <c r="F14" i="1290"/>
  <c r="I12" i="1290"/>
  <c r="I6" i="1290"/>
  <c r="I4" i="1290"/>
  <c r="E14" i="1289"/>
  <c r="I13" i="1289"/>
  <c r="I14" i="1289" s="1"/>
  <c r="E14" i="1288"/>
  <c r="I13" i="1288"/>
  <c r="I14" i="1288" s="1"/>
  <c r="I5" i="1287"/>
  <c r="I3" i="1287"/>
  <c r="I11" i="1287"/>
  <c r="F14" i="1287"/>
  <c r="I12" i="1287"/>
  <c r="I10" i="1287"/>
  <c r="I8" i="1287"/>
  <c r="I7" i="1287"/>
  <c r="I6" i="1287"/>
  <c r="I9" i="1287"/>
  <c r="I4" i="1287"/>
  <c r="E14" i="1286"/>
  <c r="I13" i="1286"/>
  <c r="I14" i="1286" s="1"/>
  <c r="I7" i="1285"/>
  <c r="I4" i="1285"/>
  <c r="I8" i="1285"/>
  <c r="I9" i="1285"/>
  <c r="F14" i="1285"/>
  <c r="I6" i="1285"/>
  <c r="H14" i="1285"/>
  <c r="I3" i="1285"/>
  <c r="I6" i="1284"/>
  <c r="I12" i="1285"/>
  <c r="I11" i="1285"/>
  <c r="I10" i="1285"/>
  <c r="I5" i="1285"/>
  <c r="I9" i="1284"/>
  <c r="I4" i="1282"/>
  <c r="I3" i="1284"/>
  <c r="H14" i="1284"/>
  <c r="I11" i="1284"/>
  <c r="I7" i="1284"/>
  <c r="I10" i="1284"/>
  <c r="I4" i="1284"/>
  <c r="I12" i="1284"/>
  <c r="I8" i="1284"/>
  <c r="F14" i="1284"/>
  <c r="I5" i="1284"/>
  <c r="I13" i="1283"/>
  <c r="I14" i="1283" s="1"/>
  <c r="E14" i="1283"/>
  <c r="I9" i="1282"/>
  <c r="H14" i="1282"/>
  <c r="F14" i="1282"/>
  <c r="I10" i="1282"/>
  <c r="I3" i="1282"/>
  <c r="I7" i="1282"/>
  <c r="I5" i="1282"/>
  <c r="I12" i="1282"/>
  <c r="I6" i="1282"/>
  <c r="I11" i="1282"/>
  <c r="I8" i="1282"/>
  <c r="I9" i="1281"/>
  <c r="I4" i="1281"/>
  <c r="I12" i="1281"/>
  <c r="I11" i="1281"/>
  <c r="I10" i="1281"/>
  <c r="I8" i="1281"/>
  <c r="I6" i="1281"/>
  <c r="I3" i="1281"/>
  <c r="I7" i="1281"/>
  <c r="I5" i="1281"/>
  <c r="I13" i="1280"/>
  <c r="I14" i="1280" s="1"/>
  <c r="E14" i="1280"/>
  <c r="I4" i="1279"/>
  <c r="I12" i="1279"/>
  <c r="I9" i="1279"/>
  <c r="I11" i="1279"/>
  <c r="I8" i="1279"/>
  <c r="I5" i="1279"/>
  <c r="I7" i="1279"/>
  <c r="I10" i="1279"/>
  <c r="I3" i="1279"/>
  <c r="I6" i="1279"/>
  <c r="G3" i="757"/>
  <c r="C6" i="952"/>
  <c r="E14" i="1290" l="1"/>
  <c r="I13" i="1290"/>
  <c r="I14" i="1290" s="1"/>
  <c r="E14" i="1287"/>
  <c r="I13" i="1287"/>
  <c r="I14" i="1287" s="1"/>
  <c r="E14" i="1285"/>
  <c r="I13" i="1285"/>
  <c r="I14" i="1285" s="1"/>
  <c r="E14" i="1284"/>
  <c r="I13" i="1284"/>
  <c r="I14" i="1284" s="1"/>
  <c r="E14" i="1282"/>
  <c r="I13" i="1282"/>
  <c r="I14" i="1282" s="1"/>
  <c r="I13" i="1281"/>
  <c r="I14" i="1281" s="1"/>
  <c r="E14" i="1281"/>
  <c r="E14" i="1279"/>
  <c r="I13" i="1279"/>
  <c r="I14" i="1279" s="1"/>
  <c r="G41" i="1"/>
  <c r="G40" i="1"/>
  <c r="N59" i="3"/>
  <c r="B6" i="952" l="1"/>
  <c r="O62" i="3"/>
  <c r="M65" i="3"/>
  <c r="R62" i="3"/>
  <c r="K62" i="3"/>
  <c r="J64" i="3"/>
  <c r="H63" i="3"/>
  <c r="AC8" i="3"/>
  <c r="N54" i="3"/>
  <c r="J60" i="3"/>
  <c r="Q63" i="3"/>
  <c r="H56" i="3"/>
  <c r="AC12" i="3"/>
  <c r="J62" i="3"/>
  <c r="L61" i="3"/>
  <c r="Q64" i="3"/>
  <c r="P65" i="3"/>
  <c r="R58" i="3"/>
  <c r="N64" i="3"/>
  <c r="Q60" i="3"/>
  <c r="G54" i="3"/>
  <c r="R61" i="3"/>
  <c r="I61" i="3"/>
  <c r="Y6" i="3"/>
  <c r="Y4" i="3"/>
  <c r="G56" i="3"/>
  <c r="R63" i="3"/>
  <c r="M58" i="3"/>
  <c r="P62" i="3"/>
  <c r="I64" i="3"/>
  <c r="AA9" i="3"/>
  <c r="I58" i="3"/>
  <c r="AA12" i="3"/>
  <c r="P63" i="3"/>
  <c r="Y12" i="3"/>
  <c r="K58" i="3"/>
  <c r="L60" i="3"/>
  <c r="H57" i="3"/>
  <c r="G65" i="3"/>
  <c r="G55" i="3"/>
  <c r="J61" i="3"/>
  <c r="AA8" i="3"/>
  <c r="L56" i="3"/>
  <c r="K56" i="3"/>
  <c r="J55" i="3"/>
  <c r="H61" i="3"/>
  <c r="Q54" i="3"/>
  <c r="Y2" i="3"/>
  <c r="Y5" i="3"/>
  <c r="H64" i="3"/>
  <c r="O64" i="3"/>
  <c r="N58" i="3"/>
  <c r="H54" i="3"/>
  <c r="AC11" i="3"/>
  <c r="P57" i="3"/>
  <c r="P60" i="3"/>
  <c r="I60" i="3"/>
  <c r="R59" i="3"/>
  <c r="I63" i="3"/>
  <c r="N62" i="3"/>
  <c r="AC6" i="3"/>
  <c r="O57" i="3"/>
  <c r="R64" i="3"/>
  <c r="I57" i="3"/>
  <c r="P58" i="3"/>
  <c r="Q65" i="3"/>
  <c r="AA10" i="3"/>
  <c r="H55" i="3"/>
  <c r="H58" i="3"/>
  <c r="AC10" i="3"/>
  <c r="M61" i="3"/>
  <c r="AA5" i="3"/>
  <c r="J63" i="3"/>
  <c r="Q59" i="3"/>
  <c r="K54" i="3"/>
  <c r="R65" i="3"/>
  <c r="L59" i="3"/>
  <c r="G61" i="3"/>
  <c r="L54" i="3"/>
  <c r="P64" i="3"/>
  <c r="M64" i="3"/>
  <c r="M62" i="3"/>
  <c r="J57" i="3"/>
  <c r="AA3" i="3"/>
  <c r="I55" i="3"/>
  <c r="Q55" i="3"/>
  <c r="AA13" i="3"/>
  <c r="N55" i="3"/>
  <c r="Q57" i="3"/>
  <c r="P55" i="3"/>
  <c r="AA6" i="3"/>
  <c r="Y9" i="3"/>
  <c r="Y13" i="3"/>
  <c r="Y8" i="3"/>
  <c r="L65" i="3"/>
  <c r="AA4" i="3"/>
  <c r="L55" i="3"/>
  <c r="O55" i="3"/>
  <c r="AC2" i="3"/>
  <c r="AC4" i="3"/>
  <c r="I56" i="3"/>
  <c r="Q62" i="3"/>
  <c r="O61" i="3"/>
  <c r="K63" i="3"/>
  <c r="M54" i="3"/>
  <c r="L64" i="3"/>
  <c r="N56" i="3"/>
  <c r="I65" i="3"/>
  <c r="K64" i="3"/>
  <c r="G59" i="3"/>
  <c r="O58" i="3"/>
  <c r="N60" i="3"/>
  <c r="I54" i="3"/>
  <c r="Q61" i="3"/>
  <c r="J58" i="3"/>
  <c r="Y7" i="3"/>
  <c r="H60" i="3"/>
  <c r="H59" i="3"/>
  <c r="M63" i="3"/>
  <c r="O59" i="3"/>
  <c r="R56" i="3"/>
  <c r="G58" i="3"/>
  <c r="P59" i="3"/>
  <c r="O56" i="3"/>
  <c r="Q56" i="3"/>
  <c r="K55" i="3"/>
  <c r="L58" i="3"/>
  <c r="AC13" i="3"/>
  <c r="AC5" i="3"/>
  <c r="AC7" i="3"/>
  <c r="J54" i="3"/>
  <c r="N57" i="3"/>
  <c r="M60" i="3"/>
  <c r="K59" i="3"/>
  <c r="G57" i="3"/>
  <c r="R57" i="3"/>
  <c r="Y10" i="3"/>
  <c r="P56" i="3"/>
  <c r="O54" i="3"/>
  <c r="L57" i="3"/>
  <c r="K61" i="3"/>
  <c r="I62" i="3"/>
  <c r="O63" i="3"/>
  <c r="L62" i="3"/>
  <c r="K57" i="3"/>
  <c r="R54" i="3"/>
  <c r="G64" i="3"/>
  <c r="P61" i="3"/>
  <c r="AC3" i="3"/>
  <c r="Q58" i="3"/>
  <c r="K60" i="3"/>
  <c r="O65" i="3"/>
  <c r="M57" i="3"/>
  <c r="R60" i="3"/>
  <c r="M59" i="3"/>
  <c r="N63" i="3"/>
  <c r="AA2" i="3"/>
  <c r="Y3" i="3"/>
  <c r="M55" i="3"/>
  <c r="G60" i="3"/>
  <c r="I59" i="3"/>
  <c r="J65" i="3"/>
  <c r="M56" i="3"/>
  <c r="N61" i="3"/>
  <c r="G63" i="3"/>
  <c r="P54" i="3"/>
  <c r="H65" i="3"/>
  <c r="O60" i="3"/>
  <c r="J59" i="3"/>
  <c r="L63" i="3"/>
  <c r="G62" i="3"/>
  <c r="K65" i="3"/>
  <c r="R55" i="3"/>
  <c r="AA7" i="3"/>
  <c r="J56" i="3"/>
  <c r="AA11" i="3"/>
  <c r="AC9" i="3"/>
  <c r="N65" i="3"/>
  <c r="H62" i="3"/>
  <c r="Y11" i="3"/>
  <c r="S62" i="3" l="1"/>
  <c r="S63" i="3"/>
  <c r="S60" i="3"/>
  <c r="S64" i="3"/>
  <c r="S57" i="3"/>
  <c r="S58" i="3"/>
  <c r="S59" i="3"/>
  <c r="S61" i="3"/>
  <c r="S55" i="3"/>
  <c r="S65" i="3"/>
  <c r="S56" i="3"/>
  <c r="S54" i="3"/>
  <c r="W26" i="757"/>
  <c r="L21" i="757"/>
  <c r="F3" i="3"/>
  <c r="F4" i="3"/>
  <c r="F5" i="3"/>
  <c r="F6" i="3"/>
  <c r="F7" i="3"/>
  <c r="F8" i="3"/>
  <c r="F9" i="3"/>
  <c r="F10" i="3"/>
  <c r="F11" i="3"/>
  <c r="F12" i="3"/>
  <c r="F13" i="3"/>
  <c r="F2" i="3"/>
  <c r="G49" i="3" a="1"/>
  <c r="G49" i="3" s="1"/>
  <c r="H49" i="3" a="1"/>
  <c r="H49" i="3" s="1"/>
  <c r="I49" i="3" a="1"/>
  <c r="I49" i="3" s="1"/>
  <c r="J49" i="3" a="1"/>
  <c r="J49" i="3" s="1"/>
  <c r="K49" i="3" a="1"/>
  <c r="K49" i="3" s="1"/>
  <c r="L49" i="3" a="1"/>
  <c r="L49" i="3" s="1"/>
  <c r="M49" i="3" a="1"/>
  <c r="M49" i="3" s="1"/>
  <c r="N49" i="3" a="1"/>
  <c r="N49" i="3" s="1"/>
  <c r="O49" i="3" a="1"/>
  <c r="O49" i="3" s="1"/>
  <c r="P49" i="3" a="1"/>
  <c r="P49" i="3" s="1"/>
  <c r="Q49" i="3" a="1"/>
  <c r="Q49" i="3" s="1"/>
  <c r="R49" i="3" a="1"/>
  <c r="R49" i="3" s="1"/>
  <c r="S49" i="3" a="1"/>
  <c r="S49" i="3" s="1"/>
  <c r="G50" i="3" a="1"/>
  <c r="G50" i="3" s="1"/>
  <c r="H50" i="3" a="1"/>
  <c r="H50" i="3" s="1"/>
  <c r="I50" i="3" a="1"/>
  <c r="I50" i="3" s="1"/>
  <c r="J50" i="3" a="1"/>
  <c r="J50" i="3" s="1"/>
  <c r="K50" i="3" a="1"/>
  <c r="K50" i="3" s="1"/>
  <c r="L50" i="3" a="1"/>
  <c r="L50" i="3" s="1"/>
  <c r="M50" i="3" a="1"/>
  <c r="M50" i="3" s="1"/>
  <c r="N50" i="3" a="1"/>
  <c r="N50" i="3" s="1"/>
  <c r="O50" i="3" a="1"/>
  <c r="O50" i="3" s="1"/>
  <c r="P50" i="3" a="1"/>
  <c r="P50" i="3" s="1"/>
  <c r="Q50" i="3" a="1"/>
  <c r="Q50" i="3" s="1"/>
  <c r="R50" i="3" a="1"/>
  <c r="R50" i="3" s="1"/>
  <c r="S50" i="3" a="1"/>
  <c r="S50" i="3" s="1"/>
  <c r="Q7" i="3"/>
  <c r="M10" i="3"/>
  <c r="U13" i="3"/>
  <c r="U8" i="3"/>
  <c r="O13" i="3"/>
  <c r="U12" i="3"/>
  <c r="Q10" i="3"/>
  <c r="W5" i="3"/>
  <c r="K4" i="3"/>
  <c r="O3" i="3"/>
  <c r="M3" i="3"/>
  <c r="O2" i="3"/>
  <c r="K5" i="3"/>
  <c r="G9" i="3"/>
  <c r="S9" i="3"/>
  <c r="O10" i="3"/>
  <c r="I4" i="3"/>
  <c r="W13" i="3"/>
  <c r="K11" i="3"/>
  <c r="S12" i="3"/>
  <c r="I6" i="3"/>
  <c r="W4" i="3"/>
  <c r="W9" i="3"/>
  <c r="S7" i="3"/>
  <c r="O4" i="3"/>
  <c r="Q11" i="3"/>
  <c r="M5" i="3"/>
  <c r="I2" i="3"/>
  <c r="U5" i="3"/>
  <c r="G3" i="3"/>
  <c r="W11" i="3"/>
  <c r="I10" i="3"/>
  <c r="M7" i="3"/>
  <c r="Q2" i="3"/>
  <c r="K8" i="3"/>
  <c r="G7" i="3"/>
  <c r="I9" i="3"/>
  <c r="W12" i="3"/>
  <c r="U3" i="3"/>
  <c r="S6" i="3"/>
  <c r="O6" i="3"/>
  <c r="O11" i="3"/>
  <c r="I3" i="3"/>
  <c r="I11" i="3"/>
  <c r="K10" i="3"/>
  <c r="U6" i="3"/>
  <c r="S11" i="3"/>
  <c r="S3" i="3"/>
  <c r="M2" i="3"/>
  <c r="S8" i="3"/>
  <c r="K13" i="3"/>
  <c r="G8" i="3"/>
  <c r="O8" i="3"/>
  <c r="I7" i="3"/>
  <c r="I12" i="3"/>
  <c r="I13" i="3"/>
  <c r="K6" i="3"/>
  <c r="M6" i="3"/>
  <c r="O5" i="3"/>
  <c r="G5" i="3"/>
  <c r="W6" i="3"/>
  <c r="S2" i="3"/>
  <c r="M11" i="3"/>
  <c r="S13" i="3"/>
  <c r="K9" i="3"/>
  <c r="S10" i="3"/>
  <c r="U7" i="3"/>
  <c r="W3" i="3"/>
  <c r="Q9" i="3"/>
  <c r="Q13" i="3"/>
  <c r="W8" i="3"/>
  <c r="Q3" i="3"/>
  <c r="Q5" i="3"/>
  <c r="U10" i="3"/>
  <c r="I8" i="3"/>
  <c r="G13" i="3"/>
  <c r="Q4" i="3"/>
  <c r="O7" i="3"/>
  <c r="G6" i="3"/>
  <c r="W2" i="3"/>
  <c r="G4" i="3"/>
  <c r="O12" i="3"/>
  <c r="L7" i="1" a="1"/>
  <c r="U2" i="3"/>
  <c r="G2" i="3"/>
  <c r="G11" i="3"/>
  <c r="K12" i="3"/>
  <c r="U11" i="3"/>
  <c r="M12" i="3"/>
  <c r="M4" i="3"/>
  <c r="K3" i="3"/>
  <c r="G10" i="3"/>
  <c r="Q6" i="3"/>
  <c r="Q12" i="3"/>
  <c r="K7" i="3"/>
  <c r="M8" i="3"/>
  <c r="Q8" i="3"/>
  <c r="U9" i="3"/>
  <c r="G12" i="3"/>
  <c r="M7" i="1" a="1"/>
  <c r="O9" i="3"/>
  <c r="M9" i="3"/>
  <c r="K2" i="3"/>
  <c r="I5" i="3"/>
  <c r="U4" i="3"/>
  <c r="S4" i="3"/>
  <c r="W10" i="3"/>
  <c r="W7" i="3"/>
  <c r="M13" i="3"/>
  <c r="S5" i="3"/>
  <c r="M7" i="1" l="1"/>
  <c r="G8" i="757" s="1"/>
  <c r="L7" i="1"/>
  <c r="F3" i="757"/>
  <c r="B3" i="3"/>
  <c r="B4" i="3"/>
  <c r="B5" i="3"/>
  <c r="B6" i="3"/>
  <c r="B7" i="3"/>
  <c r="B8" i="3"/>
  <c r="B9" i="3"/>
  <c r="B10" i="3"/>
  <c r="B11" i="3"/>
  <c r="B12" i="3"/>
  <c r="B13" i="3"/>
  <c r="B2" i="3"/>
  <c r="W5" i="757"/>
  <c r="W6" i="757"/>
  <c r="W7" i="757"/>
  <c r="W8" i="757"/>
  <c r="W9" i="757"/>
  <c r="W10" i="757"/>
  <c r="W11" i="757"/>
  <c r="W12" i="757"/>
  <c r="W13" i="757"/>
  <c r="W14" i="757"/>
  <c r="W15" i="757"/>
  <c r="W4" i="757"/>
  <c r="V5" i="757"/>
  <c r="V6" i="757"/>
  <c r="V7" i="757"/>
  <c r="V8" i="757"/>
  <c r="V9" i="757"/>
  <c r="V10" i="757"/>
  <c r="V11" i="757"/>
  <c r="V12" i="757"/>
  <c r="V13" i="757"/>
  <c r="V14" i="757"/>
  <c r="V15" i="757"/>
  <c r="V4" i="757"/>
  <c r="M9" i="1" a="1"/>
  <c r="L5" i="1" a="1"/>
  <c r="C12" i="757" a="1"/>
  <c r="M4" i="1" a="1"/>
  <c r="L13" i="1" a="1"/>
  <c r="L6" i="1" a="1"/>
  <c r="M11" i="1" a="1"/>
  <c r="C5" i="757" a="1"/>
  <c r="L14" i="1" a="1"/>
  <c r="M10" i="1" a="1"/>
  <c r="M5" i="1" a="1"/>
  <c r="L8" i="1" a="1"/>
  <c r="L12" i="1" a="1"/>
  <c r="C11" i="757" a="1"/>
  <c r="L3" i="1" a="1"/>
  <c r="L11" i="1" a="1"/>
  <c r="C4" i="757" a="1"/>
  <c r="C9" i="757" a="1"/>
  <c r="M3" i="1" a="1"/>
  <c r="L9" i="1" a="1"/>
  <c r="C13" i="757" a="1"/>
  <c r="M12" i="1" a="1"/>
  <c r="M13" i="1" a="1"/>
  <c r="C6" i="757" a="1"/>
  <c r="C10" i="757" a="1"/>
  <c r="M6" i="1" a="1"/>
  <c r="C14" i="757" a="1"/>
  <c r="M14" i="1" a="1"/>
  <c r="L10" i="1" a="1"/>
  <c r="M8" i="1" a="1"/>
  <c r="C15" i="757" a="1"/>
  <c r="C7" i="757" a="1"/>
  <c r="C8" i="757" a="1"/>
  <c r="L4" i="1" a="1"/>
  <c r="M3" i="1" l="1"/>
  <c r="G4" i="757" s="1"/>
  <c r="L3" i="1"/>
  <c r="M11" i="1"/>
  <c r="G12" i="757" s="1"/>
  <c r="L11" i="1"/>
  <c r="L14" i="1"/>
  <c r="M14" i="1"/>
  <c r="G15" i="757" s="1"/>
  <c r="L13" i="1"/>
  <c r="M13" i="1"/>
  <c r="G14" i="757" s="1"/>
  <c r="M12" i="1"/>
  <c r="G13" i="757" s="1"/>
  <c r="L12" i="1"/>
  <c r="M10" i="1"/>
  <c r="G11" i="757" s="1"/>
  <c r="L10" i="1"/>
  <c r="M9" i="1"/>
  <c r="G10" i="757" s="1"/>
  <c r="L9" i="1"/>
  <c r="M8" i="1"/>
  <c r="G9" i="757" s="1"/>
  <c r="L8" i="1"/>
  <c r="L6" i="1"/>
  <c r="M6" i="1"/>
  <c r="G7" i="757" s="1"/>
  <c r="M5" i="1"/>
  <c r="G6" i="757" s="1"/>
  <c r="L5" i="1"/>
  <c r="L4" i="1"/>
  <c r="M4" i="1"/>
  <c r="G5" i="757" s="1"/>
  <c r="C8" i="757"/>
  <c r="C7" i="757"/>
  <c r="C6" i="757"/>
  <c r="C12" i="757"/>
  <c r="C15" i="757"/>
  <c r="C11" i="757"/>
  <c r="C14" i="757"/>
  <c r="C10" i="757"/>
  <c r="C13" i="757"/>
  <c r="C9" i="757"/>
  <c r="C5" i="757"/>
  <c r="C4" i="757"/>
  <c r="M15" i="1" l="1" a="1"/>
  <c r="M15" i="1" s="1"/>
  <c r="M14" i="3"/>
  <c r="G16" i="757" l="1"/>
  <c r="F3" i="1182"/>
  <c r="F14" i="3"/>
  <c r="AD12" i="3" l="1"/>
  <c r="L7" i="3"/>
  <c r="L41" i="3" s="1" a="1"/>
  <c r="L41" i="3" s="1"/>
  <c r="R13" i="3"/>
  <c r="R44" i="3" s="1" a="1"/>
  <c r="R44" i="3" s="1"/>
  <c r="X12" i="3"/>
  <c r="Q47" i="3" s="1" a="1"/>
  <c r="Q47" i="3" s="1"/>
  <c r="AD11" i="3"/>
  <c r="N11" i="3"/>
  <c r="P42" i="3" s="1" a="1"/>
  <c r="P42" i="3" s="1"/>
  <c r="T10" i="3"/>
  <c r="O45" i="3" s="1" a="1"/>
  <c r="O45" i="3" s="1"/>
  <c r="Z9" i="3"/>
  <c r="N48" i="3" s="1" a="1"/>
  <c r="N48" i="3" s="1"/>
  <c r="J9" i="3"/>
  <c r="N40" i="3" s="1" a="1"/>
  <c r="N40" i="3" s="1"/>
  <c r="P8" i="3"/>
  <c r="M43" i="3" s="1" a="1"/>
  <c r="M43" i="3" s="1"/>
  <c r="V7" i="3"/>
  <c r="L46" i="3" s="1" a="1"/>
  <c r="L46" i="3" s="1"/>
  <c r="AB6" i="3"/>
  <c r="L6" i="3"/>
  <c r="K41" i="3" s="1" a="1"/>
  <c r="K41" i="3" s="1"/>
  <c r="R5" i="3"/>
  <c r="J44" i="3" s="1" a="1"/>
  <c r="J44" i="3" s="1"/>
  <c r="X4" i="3"/>
  <c r="I47" i="3" s="1" a="1"/>
  <c r="I47" i="3" s="1"/>
  <c r="AD3" i="3"/>
  <c r="N3" i="3"/>
  <c r="H42" i="3" s="1" a="1"/>
  <c r="H42" i="3" s="1"/>
  <c r="P9" i="3"/>
  <c r="N43" i="3" s="1" a="1"/>
  <c r="N43" i="3" s="1"/>
  <c r="R6" i="3"/>
  <c r="K44" i="3" s="1" a="1"/>
  <c r="K44" i="3" s="1"/>
  <c r="AD4" i="3"/>
  <c r="AB13" i="3"/>
  <c r="L13" i="3"/>
  <c r="R41" i="3" s="1" a="1"/>
  <c r="R41" i="3" s="1"/>
  <c r="R12" i="3"/>
  <c r="Q44" i="3" s="1" a="1"/>
  <c r="Q44" i="3" s="1"/>
  <c r="X11" i="3"/>
  <c r="P47" i="3" s="1" a="1"/>
  <c r="P47" i="3" s="1"/>
  <c r="AD10" i="3"/>
  <c r="N10" i="3"/>
  <c r="O42" i="3" s="1" a="1"/>
  <c r="O42" i="3" s="1"/>
  <c r="T9" i="3"/>
  <c r="N45" i="3" s="1" a="1"/>
  <c r="N45" i="3" s="1"/>
  <c r="Z8" i="3"/>
  <c r="M48" i="3" s="1" a="1"/>
  <c r="M48" i="3" s="1"/>
  <c r="J8" i="3"/>
  <c r="M40" i="3" s="1" a="1"/>
  <c r="M40" i="3" s="1"/>
  <c r="P7" i="3"/>
  <c r="L43" i="3" s="1" a="1"/>
  <c r="L43" i="3" s="1"/>
  <c r="V6" i="3"/>
  <c r="K46" i="3" s="1" a="1"/>
  <c r="K46" i="3" s="1"/>
  <c r="AB5" i="3"/>
  <c r="L5" i="3"/>
  <c r="J41" i="3" s="1" a="1"/>
  <c r="J41" i="3" s="1"/>
  <c r="R4" i="3"/>
  <c r="I44" i="3" s="1" a="1"/>
  <c r="I44" i="3" s="1"/>
  <c r="X3" i="3"/>
  <c r="H47" i="3" s="1" a="1"/>
  <c r="H47" i="3" s="1"/>
  <c r="N12" i="3"/>
  <c r="Q42" i="3" s="1" a="1"/>
  <c r="Q42" i="3" s="1"/>
  <c r="T3" i="3"/>
  <c r="H45" i="3" s="1" a="1"/>
  <c r="H45" i="3" s="1"/>
  <c r="V13" i="3"/>
  <c r="R46" i="3" s="1" a="1"/>
  <c r="R46" i="3" s="1"/>
  <c r="AB12" i="3"/>
  <c r="L12" i="3"/>
  <c r="Q41" i="3" s="1" a="1"/>
  <c r="Q41" i="3" s="1"/>
  <c r="R11" i="3"/>
  <c r="P44" i="3" s="1" a="1"/>
  <c r="P44" i="3" s="1"/>
  <c r="X10" i="3"/>
  <c r="O47" i="3" s="1" a="1"/>
  <c r="O47" i="3" s="1"/>
  <c r="AD9" i="3"/>
  <c r="N9" i="3"/>
  <c r="N42" i="3" s="1" a="1"/>
  <c r="N42" i="3" s="1"/>
  <c r="T8" i="3"/>
  <c r="M45" i="3" s="1" a="1"/>
  <c r="M45" i="3" s="1"/>
  <c r="Z7" i="3"/>
  <c r="L48" i="3" s="1" a="1"/>
  <c r="L48" i="3" s="1"/>
  <c r="J7" i="3"/>
  <c r="L40" i="3" s="1" a="1"/>
  <c r="L40" i="3" s="1"/>
  <c r="P6" i="3"/>
  <c r="K43" i="3" s="1" a="1"/>
  <c r="K43" i="3" s="1"/>
  <c r="V5" i="3"/>
  <c r="J46" i="3" s="1" a="1"/>
  <c r="J46" i="3" s="1"/>
  <c r="AB4" i="3"/>
  <c r="L4" i="3"/>
  <c r="I41" i="3" s="1" a="1"/>
  <c r="I41" i="3" s="1"/>
  <c r="R3" i="3"/>
  <c r="H44" i="3" s="1" a="1"/>
  <c r="H44" i="3" s="1"/>
  <c r="N13" i="3"/>
  <c r="R42" i="3" s="1" a="1"/>
  <c r="R42" i="3" s="1"/>
  <c r="P13" i="3"/>
  <c r="R43" i="3" s="1" a="1"/>
  <c r="R43" i="3" s="1"/>
  <c r="V12" i="3"/>
  <c r="Q46" i="3" s="1" a="1"/>
  <c r="Q46" i="3" s="1"/>
  <c r="AB11" i="3"/>
  <c r="L11" i="3"/>
  <c r="P41" i="3" s="1" a="1"/>
  <c r="P41" i="3" s="1"/>
  <c r="R10" i="3"/>
  <c r="O44" i="3" s="1" a="1"/>
  <c r="O44" i="3" s="1"/>
  <c r="X9" i="3"/>
  <c r="N47" i="3" s="1" a="1"/>
  <c r="N47" i="3" s="1"/>
  <c r="AD8" i="3"/>
  <c r="N8" i="3"/>
  <c r="M42" i="3" s="1" a="1"/>
  <c r="M42" i="3" s="1"/>
  <c r="T7" i="3"/>
  <c r="L45" i="3" s="1" a="1"/>
  <c r="L45" i="3" s="1"/>
  <c r="Z6" i="3"/>
  <c r="K48" i="3" s="1" a="1"/>
  <c r="K48" i="3" s="1"/>
  <c r="J6" i="3"/>
  <c r="K40" i="3" s="1" a="1"/>
  <c r="K40" i="3" s="1"/>
  <c r="P5" i="3"/>
  <c r="J43" i="3" s="1" a="1"/>
  <c r="J43" i="3" s="1"/>
  <c r="V4" i="3"/>
  <c r="I46" i="3" s="1" a="1"/>
  <c r="I46" i="3" s="1"/>
  <c r="AB3" i="3"/>
  <c r="T12" i="3"/>
  <c r="Q45" i="3" s="1" a="1"/>
  <c r="Q45" i="3" s="1"/>
  <c r="Z10" i="3"/>
  <c r="O48" i="3" s="1" a="1"/>
  <c r="O48" i="3" s="1"/>
  <c r="AB7" i="3"/>
  <c r="N4" i="3"/>
  <c r="I42" i="3" s="1" a="1"/>
  <c r="I42" i="3" s="1"/>
  <c r="Z13" i="3"/>
  <c r="R48" i="3" s="1" a="1"/>
  <c r="R48" i="3" s="1"/>
  <c r="J13" i="3"/>
  <c r="R40" i="3" s="1" a="1"/>
  <c r="R40" i="3" s="1"/>
  <c r="P12" i="3"/>
  <c r="Q43" i="3" s="1" a="1"/>
  <c r="Q43" i="3" s="1"/>
  <c r="V11" i="3"/>
  <c r="P46" i="3" s="1" a="1"/>
  <c r="P46" i="3" s="1"/>
  <c r="AB10" i="3"/>
  <c r="L10" i="3"/>
  <c r="O41" i="3" s="1" a="1"/>
  <c r="O41" i="3" s="1"/>
  <c r="R9" i="3"/>
  <c r="N44" i="3" s="1" a="1"/>
  <c r="N44" i="3" s="1"/>
  <c r="X8" i="3"/>
  <c r="M47" i="3" s="1" a="1"/>
  <c r="M47" i="3" s="1"/>
  <c r="AD7" i="3"/>
  <c r="N7" i="3"/>
  <c r="L42" i="3" s="1" a="1"/>
  <c r="L42" i="3" s="1"/>
  <c r="T6" i="3"/>
  <c r="K45" i="3" s="1" a="1"/>
  <c r="K45" i="3" s="1"/>
  <c r="Z5" i="3"/>
  <c r="J48" i="3" s="1" a="1"/>
  <c r="J48" i="3" s="1"/>
  <c r="J5" i="3"/>
  <c r="J40" i="3" s="1" a="1"/>
  <c r="J40" i="3" s="1"/>
  <c r="P4" i="3"/>
  <c r="I43" i="3" s="1" a="1"/>
  <c r="I43" i="3" s="1"/>
  <c r="V3" i="3"/>
  <c r="H46" i="3" s="1" a="1"/>
  <c r="H46" i="3" s="1"/>
  <c r="X13" i="3"/>
  <c r="R47" i="3" s="1" a="1"/>
  <c r="R47" i="3" s="1"/>
  <c r="T11" i="3"/>
  <c r="P45" i="3" s="1" a="1"/>
  <c r="P45" i="3" s="1"/>
  <c r="J10" i="3"/>
  <c r="O40" i="3" s="1" a="1"/>
  <c r="O40" i="3" s="1"/>
  <c r="V8" i="3"/>
  <c r="M46" i="3" s="1" a="1"/>
  <c r="M46" i="3" s="1"/>
  <c r="X5" i="3"/>
  <c r="J47" i="3" s="1" a="1"/>
  <c r="J47" i="3" s="1"/>
  <c r="T13" i="3"/>
  <c r="R45" i="3" s="1" a="1"/>
  <c r="R45" i="3" s="1"/>
  <c r="Z12" i="3"/>
  <c r="Q48" i="3" s="1" a="1"/>
  <c r="Q48" i="3" s="1"/>
  <c r="J12" i="3"/>
  <c r="Q40" i="3" s="1" a="1"/>
  <c r="Q40" i="3" s="1"/>
  <c r="P11" i="3"/>
  <c r="P43" i="3" s="1" a="1"/>
  <c r="P43" i="3" s="1"/>
  <c r="V10" i="3"/>
  <c r="O46" i="3" s="1" a="1"/>
  <c r="O46" i="3" s="1"/>
  <c r="AB9" i="3"/>
  <c r="L9" i="3"/>
  <c r="N41" i="3" s="1" a="1"/>
  <c r="N41" i="3" s="1"/>
  <c r="R8" i="3"/>
  <c r="M44" i="3" s="1" a="1"/>
  <c r="M44" i="3" s="1"/>
  <c r="X7" i="3"/>
  <c r="L47" i="3" s="1" a="1"/>
  <c r="L47" i="3" s="1"/>
  <c r="AD6" i="3"/>
  <c r="N6" i="3"/>
  <c r="K42" i="3" s="1" a="1"/>
  <c r="K42" i="3" s="1"/>
  <c r="T5" i="3"/>
  <c r="J45" i="3" s="1" a="1"/>
  <c r="J45" i="3" s="1"/>
  <c r="Z4" i="3"/>
  <c r="I48" i="3" s="1" a="1"/>
  <c r="I48" i="3" s="1"/>
  <c r="J4" i="3"/>
  <c r="I40" i="3" s="1" a="1"/>
  <c r="I40" i="3" s="1"/>
  <c r="P3" i="3"/>
  <c r="H43" i="3" s="1" a="1"/>
  <c r="H43" i="3" s="1"/>
  <c r="AD13" i="3"/>
  <c r="Z11" i="3"/>
  <c r="P48" i="3" s="1" a="1"/>
  <c r="P48" i="3" s="1"/>
  <c r="J11" i="3"/>
  <c r="P40" i="3" s="1" a="1"/>
  <c r="P40" i="3" s="1"/>
  <c r="P10" i="3"/>
  <c r="O43" i="3" s="1" a="1"/>
  <c r="O43" i="3" s="1"/>
  <c r="V9" i="3"/>
  <c r="N46" i="3" s="1" a="1"/>
  <c r="N46" i="3" s="1"/>
  <c r="AB8" i="3"/>
  <c r="L8" i="3"/>
  <c r="M41" i="3" s="1" a="1"/>
  <c r="M41" i="3" s="1"/>
  <c r="R7" i="3"/>
  <c r="L44" i="3" s="1" a="1"/>
  <c r="L44" i="3" s="1"/>
  <c r="X6" i="3"/>
  <c r="K47" i="3" s="1" a="1"/>
  <c r="K47" i="3" s="1"/>
  <c r="AD5" i="3"/>
  <c r="N5" i="3"/>
  <c r="J42" i="3" s="1" a="1"/>
  <c r="J42" i="3" s="1"/>
  <c r="T4" i="3"/>
  <c r="I45" i="3" s="1" a="1"/>
  <c r="I45" i="3" s="1"/>
  <c r="Z3" i="3"/>
  <c r="H48" i="3" s="1" a="1"/>
  <c r="H48" i="3" s="1"/>
  <c r="L3" i="3" l="1"/>
  <c r="H41" i="3" s="1" a="1"/>
  <c r="H41" i="3" s="1"/>
  <c r="J3" i="3"/>
  <c r="H40" i="3" s="1" a="1"/>
  <c r="H40" i="3" s="1"/>
  <c r="H7" i="3"/>
  <c r="L39" i="3" s="1" a="1"/>
  <c r="L39" i="3" s="1"/>
  <c r="C7" i="3"/>
  <c r="D7" i="3" s="1"/>
  <c r="E7" i="3" s="1"/>
  <c r="J2" i="3"/>
  <c r="G40" i="3" s="1" a="1"/>
  <c r="G40" i="3" s="1"/>
  <c r="I14" i="3"/>
  <c r="J14" i="3" s="1"/>
  <c r="S40" i="3" s="1" a="1"/>
  <c r="S40" i="3" s="1"/>
  <c r="Z2" i="3"/>
  <c r="G48" i="3" s="1" a="1"/>
  <c r="G48" i="3" s="1"/>
  <c r="Y14" i="3"/>
  <c r="Z14" i="3" s="1"/>
  <c r="S48" i="3" s="1" a="1"/>
  <c r="S48" i="3" s="1"/>
  <c r="H11" i="3"/>
  <c r="P39" i="3" s="1" a="1"/>
  <c r="P39" i="3" s="1"/>
  <c r="C11" i="3"/>
  <c r="D11" i="3" s="1"/>
  <c r="E11" i="3" s="1"/>
  <c r="N14" i="3"/>
  <c r="S42" i="3" s="1" a="1"/>
  <c r="S42" i="3" s="1"/>
  <c r="N2" i="3"/>
  <c r="G42" i="3" s="1" a="1"/>
  <c r="G42" i="3" s="1"/>
  <c r="X2" i="3"/>
  <c r="G47" i="3" s="1" a="1"/>
  <c r="G47" i="3" s="1"/>
  <c r="W14" i="3"/>
  <c r="X14" i="3" s="1"/>
  <c r="S47" i="3" s="1" a="1"/>
  <c r="S47" i="3" s="1"/>
  <c r="K14" i="3"/>
  <c r="L14" i="3" s="1"/>
  <c r="S41" i="3" s="1" a="1"/>
  <c r="S41" i="3" s="1"/>
  <c r="L2" i="3"/>
  <c r="G41" i="3" s="1" a="1"/>
  <c r="G41" i="3" s="1"/>
  <c r="O14" i="3"/>
  <c r="P14" i="3" s="1"/>
  <c r="S43" i="3" s="1" a="1"/>
  <c r="S43" i="3" s="1"/>
  <c r="P2" i="3"/>
  <c r="G43" i="3" s="1" a="1"/>
  <c r="G43" i="3" s="1"/>
  <c r="T2" i="3"/>
  <c r="G45" i="3" s="1" a="1"/>
  <c r="G45" i="3" s="1"/>
  <c r="S14" i="3"/>
  <c r="T14" i="3" s="1"/>
  <c r="S45" i="3" s="1" a="1"/>
  <c r="S45" i="3" s="1"/>
  <c r="U14" i="3"/>
  <c r="V14" i="3" s="1"/>
  <c r="S46" i="3" s="1" a="1"/>
  <c r="S46" i="3" s="1"/>
  <c r="V2" i="3"/>
  <c r="G46" i="3" s="1" a="1"/>
  <c r="G46" i="3" s="1"/>
  <c r="C4" i="3"/>
  <c r="D4" i="3" s="1"/>
  <c r="E4" i="3" s="1"/>
  <c r="H4" i="3"/>
  <c r="I39" i="3" s="1" a="1"/>
  <c r="I39" i="3" s="1"/>
  <c r="H2" i="3"/>
  <c r="G39" i="3" s="1" a="1"/>
  <c r="G39" i="3" s="1"/>
  <c r="C2" i="3"/>
  <c r="G14" i="3"/>
  <c r="H14" i="3" s="1"/>
  <c r="S39" i="3" s="1" a="1"/>
  <c r="S39" i="3" s="1"/>
  <c r="C5" i="3"/>
  <c r="D5" i="3" s="1"/>
  <c r="E5" i="3" s="1"/>
  <c r="H5" i="3"/>
  <c r="J39" i="3" s="1" a="1"/>
  <c r="J39" i="3" s="1"/>
  <c r="AC14" i="3"/>
  <c r="AD14" i="3" s="1"/>
  <c r="AD2" i="3"/>
  <c r="C8" i="3"/>
  <c r="D8" i="3" s="1"/>
  <c r="E8" i="3" s="1"/>
  <c r="H8" i="3"/>
  <c r="M39" i="3" s="1" a="1"/>
  <c r="M39" i="3" s="1"/>
  <c r="H6" i="3"/>
  <c r="K39" i="3" s="1" a="1"/>
  <c r="K39" i="3" s="1"/>
  <c r="C6" i="3"/>
  <c r="D6" i="3" s="1"/>
  <c r="E6" i="3" s="1"/>
  <c r="AA14" i="3"/>
  <c r="AB14" i="3" s="1"/>
  <c r="AB2" i="3"/>
  <c r="C9" i="3"/>
  <c r="D9" i="3" s="1"/>
  <c r="E9" i="3" s="1"/>
  <c r="H9" i="3"/>
  <c r="N39" i="3" s="1" a="1"/>
  <c r="N39" i="3" s="1"/>
  <c r="C12" i="3"/>
  <c r="D12" i="3" s="1"/>
  <c r="E12" i="3" s="1"/>
  <c r="H12" i="3"/>
  <c r="Q39" i="3" s="1" a="1"/>
  <c r="Q39" i="3" s="1"/>
  <c r="H3" i="3"/>
  <c r="H39" i="3" s="1" a="1"/>
  <c r="H39" i="3" s="1"/>
  <c r="C3" i="3"/>
  <c r="D3" i="3" s="1"/>
  <c r="E3" i="3" s="1"/>
  <c r="C10" i="3"/>
  <c r="D10" i="3" s="1"/>
  <c r="E10" i="3" s="1"/>
  <c r="H10" i="3"/>
  <c r="O39" i="3" s="1" a="1"/>
  <c r="O39" i="3" s="1"/>
  <c r="C13" i="3"/>
  <c r="D13" i="3" s="1"/>
  <c r="E13" i="3" s="1"/>
  <c r="H13" i="3"/>
  <c r="R39" i="3" s="1" a="1"/>
  <c r="R39" i="3" s="1"/>
  <c r="Q14" i="3"/>
  <c r="R14" i="3" s="1"/>
  <c r="S44" i="3" s="1" a="1"/>
  <c r="S44" i="3" s="1"/>
  <c r="R2" i="3"/>
  <c r="G44" i="3" s="1" a="1"/>
  <c r="G44" i="3" s="1"/>
  <c r="D2" i="3" l="1"/>
  <c r="E2" i="3" s="1"/>
  <c r="C14" i="3"/>
  <c r="D14" i="3" s="1"/>
  <c r="E14" i="3" s="1"/>
  <c r="C15" i="1" l="1" a="1"/>
  <c r="C15" i="1" s="1"/>
  <c r="D16" i="757" l="1"/>
  <c r="M17" i="1"/>
  <c r="W16" i="757"/>
  <c r="AG50" i="3" l="1"/>
  <c r="AG49" i="3"/>
  <c r="AG48" i="3"/>
  <c r="AG47" i="3"/>
  <c r="AG46" i="3"/>
  <c r="AG45" i="3"/>
  <c r="AG44" i="3"/>
  <c r="AG43" i="3"/>
  <c r="AG42" i="3"/>
  <c r="AG41" i="3"/>
  <c r="AG40" i="3"/>
  <c r="AG39" i="3"/>
  <c r="AF50" i="3"/>
  <c r="AF49" i="3"/>
  <c r="AF48" i="3"/>
  <c r="AF47" i="3"/>
  <c r="AF46" i="3"/>
  <c r="AF45" i="3"/>
  <c r="AF44" i="3"/>
  <c r="AF43" i="3"/>
  <c r="AF42" i="3"/>
  <c r="AF41" i="3"/>
  <c r="AF40" i="3"/>
  <c r="AF39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Z50" i="3"/>
  <c r="Z49" i="3"/>
  <c r="Z48" i="3"/>
  <c r="Z47" i="3"/>
  <c r="Z46" i="3"/>
  <c r="Z45" i="3"/>
  <c r="Z44" i="3"/>
  <c r="Z43" i="3"/>
  <c r="Z42" i="3"/>
  <c r="Z41" i="3"/>
  <c r="Z40" i="3"/>
  <c r="Z39" i="3"/>
  <c r="Y50" i="3"/>
  <c r="Y49" i="3"/>
  <c r="Y48" i="3"/>
  <c r="Y47" i="3"/>
  <c r="Y46" i="3"/>
  <c r="Y45" i="3"/>
  <c r="Y44" i="3"/>
  <c r="Y43" i="3"/>
  <c r="Y42" i="3"/>
  <c r="Y41" i="3"/>
  <c r="Y40" i="3"/>
  <c r="Y39" i="3"/>
  <c r="X50" i="3"/>
  <c r="X49" i="3"/>
  <c r="X48" i="3"/>
  <c r="X47" i="3"/>
  <c r="X46" i="3"/>
  <c r="X45" i="3"/>
  <c r="X44" i="3"/>
  <c r="X43" i="3"/>
  <c r="X42" i="3"/>
  <c r="X41" i="3"/>
  <c r="X40" i="3"/>
  <c r="X39" i="3"/>
  <c r="W50" i="3"/>
  <c r="W49" i="3"/>
  <c r="W48" i="3"/>
  <c r="W47" i="3"/>
  <c r="W46" i="3"/>
  <c r="W45" i="3"/>
  <c r="W44" i="3"/>
  <c r="W43" i="3"/>
  <c r="W42" i="3"/>
  <c r="W41" i="3"/>
  <c r="W40" i="3"/>
  <c r="W39" i="3"/>
  <c r="V50" i="3"/>
  <c r="V49" i="3"/>
  <c r="V48" i="3"/>
  <c r="V47" i="3"/>
  <c r="V46" i="3"/>
  <c r="V45" i="3"/>
  <c r="V44" i="3"/>
  <c r="V43" i="3"/>
  <c r="V42" i="3"/>
  <c r="V41" i="3"/>
  <c r="V40" i="3"/>
  <c r="V39" i="3"/>
  <c r="U50" i="3"/>
  <c r="U49" i="3"/>
  <c r="U48" i="3"/>
  <c r="U47" i="3"/>
  <c r="U46" i="3"/>
  <c r="U45" i="3"/>
  <c r="U44" i="3"/>
  <c r="U43" i="3"/>
  <c r="U42" i="3"/>
  <c r="U41" i="3"/>
  <c r="U40" i="3"/>
  <c r="U39" i="3"/>
  <c r="E9" i="757" l="1"/>
  <c r="E11" i="757"/>
  <c r="E15" i="757"/>
  <c r="E6" i="757"/>
  <c r="E13" i="757"/>
  <c r="E5" i="757"/>
  <c r="E14" i="757"/>
  <c r="E10" i="757"/>
  <c r="E7" i="757"/>
  <c r="E12" i="757"/>
  <c r="E8" i="757"/>
  <c r="E4" i="757"/>
  <c r="X9" i="757"/>
  <c r="Y9" i="757" s="1"/>
  <c r="X11" i="757"/>
  <c r="Z11" i="757" s="1"/>
  <c r="X15" i="757"/>
  <c r="Z15" i="757" s="1"/>
  <c r="X8" i="757"/>
  <c r="Y8" i="757" s="1"/>
  <c r="X6" i="757"/>
  <c r="Z6" i="757" s="1"/>
  <c r="X13" i="757"/>
  <c r="Z13" i="757" s="1"/>
  <c r="X5" i="757"/>
  <c r="Y5" i="757" s="1"/>
  <c r="X14" i="757"/>
  <c r="Z14" i="757" s="1"/>
  <c r="X10" i="757"/>
  <c r="Z10" i="757" s="1"/>
  <c r="X7" i="757"/>
  <c r="Y7" i="757" s="1"/>
  <c r="X12" i="757"/>
  <c r="Z12" i="757" s="1"/>
  <c r="X4" i="757"/>
  <c r="Z4" i="757" s="1"/>
  <c r="Y13" i="757" l="1"/>
  <c r="Z8" i="757"/>
  <c r="Y14" i="757"/>
  <c r="Y12" i="757"/>
  <c r="Y15" i="757"/>
  <c r="Z7" i="757"/>
  <c r="Z5" i="757"/>
  <c r="Y11" i="757"/>
  <c r="Y4" i="757"/>
  <c r="Z9" i="757"/>
  <c r="Y10" i="757"/>
  <c r="Y6" i="757"/>
  <c r="D15" i="1" l="1" a="1"/>
  <c r="D15" i="1" s="1"/>
  <c r="E15" i="1" a="1"/>
  <c r="E15" i="1" s="1"/>
  <c r="J7" i="1"/>
  <c r="F7" i="1"/>
  <c r="J5" i="1"/>
  <c r="F5" i="1"/>
  <c r="J9" i="1"/>
  <c r="F9" i="1"/>
  <c r="J13" i="1"/>
  <c r="F13" i="1"/>
  <c r="F6" i="1"/>
  <c r="J6" i="1"/>
  <c r="F4" i="1"/>
  <c r="J4" i="1"/>
  <c r="F14" i="1"/>
  <c r="J14" i="1"/>
  <c r="F8" i="1"/>
  <c r="J8" i="1"/>
  <c r="F10" i="1"/>
  <c r="J10" i="1"/>
  <c r="F12" i="1"/>
  <c r="J12" i="1"/>
  <c r="J11" i="1"/>
  <c r="F11" i="1"/>
  <c r="F3" i="1"/>
  <c r="J3" i="1"/>
  <c r="J15" i="1" l="1"/>
  <c r="J16" i="1" s="1"/>
  <c r="X16" i="757"/>
  <c r="Y16" i="757" s="1"/>
  <c r="E16" i="757"/>
  <c r="E17" i="757" s="1"/>
  <c r="F15" i="1" a="1"/>
  <c r="F15" i="1" s="1"/>
  <c r="F16" i="1" s="1"/>
  <c r="K14" i="1"/>
  <c r="K8" i="1"/>
  <c r="K4" i="1"/>
  <c r="K7" i="1"/>
  <c r="K6" i="1"/>
  <c r="K11" i="1"/>
  <c r="K13" i="1"/>
  <c r="K9" i="1"/>
  <c r="K12" i="1"/>
  <c r="K10" i="1"/>
  <c r="K5" i="1"/>
  <c r="K3" i="1"/>
  <c r="K15" i="1" a="1"/>
  <c r="K15" i="1" s="1"/>
  <c r="E16" i="1"/>
  <c r="D16" i="1"/>
  <c r="Z16" i="757" l="1"/>
  <c r="K16" i="1"/>
  <c r="F5" i="757" l="1"/>
  <c r="N4" i="1" l="1" a="1"/>
  <c r="N4" i="1" s="1"/>
  <c r="H4" i="1"/>
  <c r="I5" i="757" l="1"/>
  <c r="G4" i="1"/>
  <c r="H5" i="757" l="1"/>
  <c r="J5" i="757" s="1" a="1"/>
  <c r="J5" i="757" s="1"/>
  <c r="I4" i="1"/>
  <c r="N3" i="1" l="1" a="1"/>
  <c r="N3" i="1" s="1"/>
  <c r="F4" i="757"/>
  <c r="G3" i="1"/>
  <c r="H4" i="757" l="1"/>
  <c r="H3" i="1"/>
  <c r="I3" i="1" l="1"/>
  <c r="I4" i="757"/>
  <c r="J4" i="757" s="1" a="1"/>
  <c r="J4" i="757" s="1"/>
  <c r="H5" i="1"/>
  <c r="F6" i="757" l="1"/>
  <c r="I6" i="757"/>
  <c r="N5" i="1" a="1"/>
  <c r="N5" i="1" s="1"/>
  <c r="G5" i="1"/>
  <c r="I5" i="1" l="1"/>
  <c r="H6" i="757"/>
  <c r="J6" i="757" s="1" a="1"/>
  <c r="J6" i="757" s="1"/>
  <c r="H14" i="1"/>
  <c r="I15" i="757" l="1"/>
  <c r="N14" i="1" l="1" a="1"/>
  <c r="N14" i="1" s="1"/>
  <c r="F15" i="757"/>
  <c r="G14" i="1"/>
  <c r="I14" i="1" l="1"/>
  <c r="H15" i="757"/>
  <c r="J15" i="757" s="1" a="1"/>
  <c r="J15" i="757" s="1"/>
  <c r="H13" i="1"/>
  <c r="F14" i="757" l="1"/>
  <c r="I14" i="757"/>
  <c r="G13" i="1"/>
  <c r="I13" i="1" l="1"/>
  <c r="H14" i="757"/>
  <c r="J14" i="757" s="1" a="1"/>
  <c r="J14" i="757" s="1"/>
  <c r="N13" i="1" l="1" a="1"/>
  <c r="N13" i="1" s="1"/>
  <c r="H12" i="1"/>
  <c r="I13" i="757" l="1"/>
  <c r="G12" i="1"/>
  <c r="F13" i="757" l="1"/>
  <c r="I12" i="1"/>
  <c r="H13" i="757"/>
  <c r="J13" i="757" l="1" a="1"/>
  <c r="J13" i="757" s="1"/>
  <c r="N12" i="1" a="1"/>
  <c r="N12" i="1" s="1"/>
  <c r="F12" i="757" l="1"/>
  <c r="N11" i="1" l="1" a="1"/>
  <c r="N11" i="1" s="1"/>
  <c r="H11" i="1"/>
  <c r="I12" i="757" l="1"/>
  <c r="G11" i="1"/>
  <c r="I11" i="1" l="1"/>
  <c r="H12" i="757"/>
  <c r="J12" i="757" s="1" a="1"/>
  <c r="J12" i="757" s="1"/>
  <c r="H10" i="1"/>
  <c r="I11" i="757" l="1"/>
  <c r="F11" i="757" l="1"/>
  <c r="N10" i="1" a="1"/>
  <c r="N10" i="1" s="1"/>
  <c r="G10" i="1"/>
  <c r="I10" i="1" l="1"/>
  <c r="H11" i="757"/>
  <c r="J11" i="757" s="1" a="1"/>
  <c r="J11" i="757" s="1"/>
  <c r="H9" i="1"/>
  <c r="I10" i="757" l="1"/>
  <c r="F10" i="757" l="1"/>
  <c r="N9" i="1" l="1" a="1"/>
  <c r="N9" i="1" s="1"/>
  <c r="G9" i="1"/>
  <c r="I9" i="1" l="1"/>
  <c r="H10" i="757"/>
  <c r="J10" i="757" s="1" a="1"/>
  <c r="J10" i="757" s="1"/>
  <c r="G8" i="1"/>
  <c r="H9" i="757" l="1"/>
  <c r="F9" i="757"/>
  <c r="N8" i="1" a="1"/>
  <c r="N8" i="1" s="1"/>
  <c r="H8" i="1"/>
  <c r="I8" i="1" l="1"/>
  <c r="I9" i="757"/>
  <c r="J9" i="757" s="1" a="1"/>
  <c r="J9" i="757" s="1"/>
  <c r="G7" i="1"/>
  <c r="F8" i="757" l="1"/>
  <c r="H8" i="757"/>
  <c r="N7" i="1" l="1" a="1"/>
  <c r="N7" i="1" s="1"/>
  <c r="H7" i="1"/>
  <c r="I8" i="757" l="1"/>
  <c r="J8" i="757" s="1" a="1"/>
  <c r="J8" i="757" s="1"/>
  <c r="I7" i="1"/>
  <c r="G6" i="1"/>
  <c r="G15" i="1" l="1" a="1"/>
  <c r="G15" i="1" s="1"/>
  <c r="G16" i="1" s="1"/>
  <c r="H7" i="757"/>
  <c r="H16" i="757" l="1"/>
  <c r="H6" i="1"/>
  <c r="H15" i="1" l="1" a="1"/>
  <c r="H15" i="1" s="1"/>
  <c r="H16" i="1" s="1"/>
  <c r="I6" i="1"/>
  <c r="I15" i="1" s="1" a="1"/>
  <c r="I15" i="1" s="1"/>
  <c r="H17" i="757" s="1"/>
  <c r="I7" i="757"/>
  <c r="M16" i="1" l="1"/>
  <c r="F7" i="757"/>
  <c r="J7" i="757" s="1" a="1"/>
  <c r="J7" i="757" s="1"/>
  <c r="I16" i="1"/>
  <c r="L15" i="1" a="1"/>
  <c r="L15" i="1" s="1"/>
  <c r="I17" i="757"/>
  <c r="I16" i="757"/>
  <c r="L16" i="1" l="1"/>
  <c r="L17" i="1"/>
  <c r="F2" i="1182"/>
  <c r="F7" i="1182" s="1"/>
  <c r="G17" i="757"/>
  <c r="G3" i="1182"/>
  <c r="N6" i="1" a="1"/>
  <c r="N6" i="1" s="1"/>
  <c r="N15" i="1" s="1" a="1"/>
  <c r="N15" i="1" s="1"/>
  <c r="F16" i="757"/>
  <c r="N16" i="1" l="1"/>
  <c r="N17" i="1"/>
  <c r="E9" i="1182"/>
  <c r="H3" i="1182"/>
  <c r="F17" i="757"/>
  <c r="L17" i="757" s="1"/>
  <c r="G2" i="1182"/>
  <c r="J16" i="757" a="1"/>
  <c r="J16" i="757" s="1"/>
  <c r="L13" i="757" s="1"/>
  <c r="E6" i="1182" s="1"/>
  <c r="L11" i="757" l="1"/>
  <c r="J17" i="757"/>
  <c r="F15" i="1182"/>
  <c r="H2" i="1182"/>
  <c r="G7" i="1182"/>
  <c r="G15" i="1182" l="1"/>
  <c r="O15" i="1182"/>
  <c r="H15" i="1182"/>
  <c r="P15" i="1182"/>
  <c r="I15" i="1182"/>
  <c r="K15" i="1182"/>
  <c r="S15" i="1182"/>
  <c r="L15" i="1182"/>
  <c r="T15" i="1182"/>
  <c r="M15" i="1182"/>
  <c r="U15" i="1182"/>
  <c r="N15" i="1182"/>
  <c r="V15" i="1182"/>
  <c r="Q15" i="1182"/>
  <c r="J15" i="1182"/>
  <c r="R15" i="1182"/>
  <c r="I3" i="1182"/>
  <c r="J3" i="1182"/>
  <c r="F14" i="1182"/>
  <c r="H14" i="1182" l="1"/>
  <c r="P14" i="1182"/>
  <c r="U14" i="1182"/>
  <c r="I14" i="1182"/>
  <c r="Q14" i="1182"/>
  <c r="M14" i="1182"/>
  <c r="J14" i="1182"/>
  <c r="R14" i="1182"/>
  <c r="K14" i="1182"/>
  <c r="S14" i="1182"/>
  <c r="T14" i="1182"/>
  <c r="L14" i="1182"/>
  <c r="N14" i="1182"/>
  <c r="V14" i="1182"/>
  <c r="O14" i="1182"/>
  <c r="J2" i="1182"/>
  <c r="J4" i="1182" s="1"/>
  <c r="G14" i="1182"/>
  <c r="I2" i="1182"/>
  <c r="I4" i="1182" s="1"/>
  <c r="F16" i="1182"/>
  <c r="G20" i="1182" s="1"/>
  <c r="L2" i="1182" l="1"/>
  <c r="G19" i="1182"/>
  <c r="K3" i="1182" s="1"/>
  <c r="L3" i="1182"/>
  <c r="K2" i="1182" l="1"/>
  <c r="N3" i="1182"/>
  <c r="N2" i="1182" l="1"/>
  <c r="K4" i="1182"/>
  <c r="O3" i="1182"/>
  <c r="N4" i="1182" l="1"/>
  <c r="O2" i="1182"/>
  <c r="L4" i="1182"/>
  <c r="O4" i="118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<sst xmlns="http://schemas.openxmlformats.org/spreadsheetml/2006/main" count="1372" uniqueCount="173">
  <si>
    <t>Vérification</t>
  </si>
  <si>
    <t>N°</t>
  </si>
  <si>
    <t>Nom</t>
  </si>
  <si>
    <t>Inscrits</t>
  </si>
  <si>
    <t>Emargements</t>
  </si>
  <si>
    <t>Votants</t>
  </si>
  <si>
    <t>Abstention</t>
  </si>
  <si>
    <t>Nuls</t>
  </si>
  <si>
    <t>Blancs</t>
  </si>
  <si>
    <t>Exprimés</t>
  </si>
  <si>
    <t>Participation</t>
  </si>
  <si>
    <t>Abstention (%)</t>
  </si>
  <si>
    <t>M. Pierre-Yves
TIERCE</t>
  </si>
  <si>
    <t>Mme Isabelle
FARNET RISSO</t>
  </si>
  <si>
    <t>Total exprimé</t>
  </si>
  <si>
    <t>Ecole Chabaud</t>
  </si>
  <si>
    <t>Gymnase B</t>
  </si>
  <si>
    <t>COSEC</t>
  </si>
  <si>
    <t>CMM</t>
  </si>
  <si>
    <t>Base nautique</t>
  </si>
  <si>
    <t>TOTAL</t>
  </si>
  <si>
    <t>%</t>
  </si>
  <si>
    <t>% exprimés</t>
  </si>
  <si>
    <t>Date</t>
  </si>
  <si>
    <t>% d'inscrits</t>
  </si>
  <si>
    <t>% de votants</t>
  </si>
  <si>
    <t>Election</t>
  </si>
  <si>
    <t>Municipale</t>
  </si>
  <si>
    <t>Tour</t>
  </si>
  <si>
    <t>Ville</t>
  </si>
  <si>
    <t>Cogolin</t>
  </si>
  <si>
    <t>Seuil 0</t>
  </si>
  <si>
    <t>Seuil 1</t>
  </si>
  <si>
    <t>Seuil 2</t>
  </si>
  <si>
    <t>Seuil 3</t>
  </si>
  <si>
    <t>top 1</t>
  </si>
  <si>
    <t>Nb Candidats</t>
  </si>
  <si>
    <t>Nb Bureaux</t>
  </si>
  <si>
    <t>Bureaux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</si>
  <si>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</si>
  <si>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</si>
  <si>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</si>
  <si>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</si>
  <si>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</si>
  <si>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</si>
  <si>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</si>
  <si>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</si>
  <si>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</si>
  <si>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</si>
  <si>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</si>
  <si>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</si>
  <si>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Total</t>
  </si>
  <si>
    <t>Valeurs du tour précédent</t>
  </si>
  <si>
    <t xml:space="preserve">Les cases grisées sont </t>
  </si>
  <si>
    <t>calculées automatiquement</t>
  </si>
  <si>
    <t>Ne pas éditer</t>
  </si>
  <si>
    <t>Tour actuel</t>
  </si>
  <si>
    <t>Tour précédent</t>
  </si>
  <si>
    <t>Heure</t>
  </si>
  <si>
    <t>Bureau 1</t>
  </si>
  <si>
    <t>Bureau 2</t>
  </si>
  <si>
    <t>Bureau 3</t>
  </si>
  <si>
    <t>Bureau 4</t>
  </si>
  <si>
    <t>Bureau 5</t>
  </si>
  <si>
    <t>Bureau 6</t>
  </si>
  <si>
    <t>Bureau 7</t>
  </si>
  <si>
    <t>Bureau 8</t>
  </si>
  <si>
    <t>Bureau 9</t>
  </si>
  <si>
    <t>Bureau 10</t>
  </si>
  <si>
    <t>Bureau 11</t>
  </si>
  <si>
    <t>Bureau 12</t>
  </si>
  <si>
    <t>08h00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</si>
  <si>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</si>
  <si>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</si>
  <si>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</si>
  <si>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</si>
  <si>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</si>
  <si>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</si>
  <si>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</si>
  <si>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</si>
  <si>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</si>
  <si>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</si>
  <si>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</si>
  <si>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</si>
  <si>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Résultats relatifs aux centaines dépouillées</t>
  </si>
  <si>
    <t>Enveloppe  de centaine</t>
  </si>
  <si>
    <t>Sous-totaux centaines</t>
  </si>
  <si>
    <t>Votants cumulés</t>
  </si>
  <si>
    <t>Votants %</t>
  </si>
  <si>
    <t>Période horaire</t>
  </si>
  <si>
    <t>Votants sur la période</t>
  </si>
  <si>
    <t>Bureau n°</t>
  </si>
  <si>
    <t>Seules les cases bleu clair sont 
à remplir</t>
  </si>
  <si>
    <t>Les cases grisées sont calculées automatiquement Ne pas éditer</t>
  </si>
  <si>
    <r>
      <t xml:space="preserve">Ce tableur </t>
    </r>
    <r>
      <rPr>
        <i/>
        <u/>
        <sz val="14"/>
        <color rgb="FF000000"/>
        <rFont val="Calibri"/>
        <family val="2"/>
      </rPr>
      <t>ne remplace pas</t>
    </r>
    <r>
      <rPr>
        <i/>
        <sz val="14"/>
        <color rgb="FF000000"/>
        <rFont val="Calibri"/>
        <family val="2"/>
      </rPr>
      <t xml:space="preserve"> les notes papier, il est un complément mais il ne fait pas foi.</t>
    </r>
  </si>
  <si>
    <t>Table</t>
  </si>
  <si>
    <t>TABLE 1</t>
  </si>
  <si>
    <t>Résultats cumulatifs de chaque centaine dépouillée par la table 1</t>
  </si>
  <si>
    <t>N° Centaine</t>
  </si>
  <si>
    <t>Sous-totaux enveloppes ouvertes</t>
  </si>
  <si>
    <t/>
  </si>
  <si>
    <t>TABLE 2</t>
  </si>
  <si>
    <t>Résultats cumulatifs de chaque centaine dépouillée par la table 2</t>
  </si>
  <si>
    <t>TABLE 3</t>
  </si>
  <si>
    <t>Résultats cumulatifs de chaque centaine dépouillée par la table 3</t>
  </si>
  <si>
    <t>Total dépouillé</t>
  </si>
  <si>
    <t>Dernière mise à jour :</t>
  </si>
  <si>
    <t>Participation à</t>
  </si>
  <si>
    <t>Affichage / Nouvelle fenêtre : Feuille Projection sur écran du public</t>
  </si>
  <si>
    <t>Ctrl + F1</t>
  </si>
  <si>
    <t>Masquer le ruban</t>
  </si>
  <si>
    <t>Affichage / Quadrillage</t>
  </si>
  <si>
    <t>Affichage / Barre de formule</t>
  </si>
  <si>
    <t>Affichage / En-têtes</t>
  </si>
  <si>
    <t>Révision / Protéger la feuille</t>
  </si>
  <si>
    <t>Agrandir la barre de défilement horizontal au max à gauche pour masquer les onglets</t>
  </si>
  <si>
    <t>Sélectionner une case en dehors de l'affichage afin de ne pas voir la cellule sélectionnée entourée en vert</t>
  </si>
  <si>
    <t>Listes</t>
  </si>
  <si>
    <t>Voix</t>
  </si>
  <si>
    <t>Éligible 
&gt;=5%</t>
  </si>
  <si>
    <t>Prime majoritaire CM</t>
  </si>
  <si>
    <t>Prime
majoritaire
CC</t>
  </si>
  <si>
    <t>Sièges
PFM
CM</t>
  </si>
  <si>
    <t>Sièges
PFM
CC</t>
  </si>
  <si>
    <t>Moyenne d'âge</t>
  </si>
  <si>
    <t>Sièges au conseil 
municipal</t>
  </si>
  <si>
    <t>Sièges au conseil 
communautaire</t>
  </si>
  <si>
    <t>Rappel listes</t>
  </si>
  <si>
    <t>Référence pour calcul de l'âge</t>
  </si>
  <si>
    <t>Membre de la liste</t>
  </si>
  <si>
    <t>Date de naissance</t>
  </si>
  <si>
    <t>Âge</t>
  </si>
  <si>
    <t>Sièges à distribuer aux conseils</t>
  </si>
  <si>
    <t>En tête</t>
  </si>
  <si>
    <t>Avec (voix)</t>
  </si>
  <si>
    <t>soit</t>
  </si>
  <si>
    <t>Calcul de la moyenne d'âge en fonction des dates de naissance ici</t>
  </si>
  <si>
    <t>municipal</t>
  </si>
  <si>
    <t>communautaire</t>
  </si>
  <si>
    <t>Egalité ?</t>
  </si>
  <si>
    <t>Si égalité, départager à la moyenne d'âge</t>
  </si>
  <si>
    <t>Quotients - Méthode de la plus forte moyenne</t>
  </si>
  <si>
    <t>Voix éligibles
(&gt;=5%)</t>
  </si>
  <si>
    <t>Prime majoritaire</t>
  </si>
  <si>
    <t>Restant PFM</t>
  </si>
  <si>
    <t>Conseil</t>
  </si>
  <si>
    <t>Feuille de calcul des résultats par centaines</t>
  </si>
  <si>
    <t xml:space="preserve">Bureau n°          </t>
  </si>
  <si>
    <t xml:space="preserve">Table n°          </t>
  </si>
  <si>
    <t xml:space="preserve">Calculs des résultats de chaque centaine dépouillée par la table </t>
  </si>
  <si>
    <t xml:space="preserve">               / 100</t>
  </si>
  <si>
    <t xml:space="preserve">       -             =        </t>
  </si>
  <si>
    <t xml:space="preserve">              / 200</t>
  </si>
  <si>
    <t xml:space="preserve">               / 300</t>
  </si>
  <si>
    <t xml:space="preserve">               / 400</t>
  </si>
  <si>
    <t xml:space="preserve">               / 500</t>
  </si>
  <si>
    <t xml:space="preserve">Ligne blanche </t>
  </si>
  <si>
    <t>Le nombre de voix tel que lu directement sur la feuille de dépouillement.</t>
  </si>
  <si>
    <r>
      <t xml:space="preserve">Aucun calcul nécessaire ici. C'est tout simplement </t>
    </r>
    <r>
      <rPr>
        <b/>
        <sz val="20"/>
        <color rgb="FF000000"/>
        <rFont val="Arial"/>
        <family val="2"/>
        <scheme val="minor"/>
      </rPr>
      <t>le nombre de batonnets.</t>
    </r>
  </si>
  <si>
    <t xml:space="preserve">Ligne bleue </t>
  </si>
  <si>
    <r>
      <t xml:space="preserve">Calcul à faire : </t>
    </r>
    <r>
      <rPr>
        <b/>
        <sz val="20"/>
        <color rgb="FF000000"/>
        <rFont val="Arial"/>
        <family val="2"/>
        <scheme val="minor"/>
      </rPr>
      <t xml:space="preserve">Nb voix actuel - Nb voix précédent = Score du candidat </t>
    </r>
    <r>
      <rPr>
        <b/>
        <i/>
        <sz val="20"/>
        <color rgb="FF000000"/>
        <rFont val="Arial"/>
        <family val="2"/>
        <scheme val="minor"/>
      </rPr>
      <t>dans cette centaine là.</t>
    </r>
  </si>
  <si>
    <t>Recopier ce score calculé dans le tableau Récapitulatif ci-dessous (et envoyer au bureau centralisateur)</t>
  </si>
  <si>
    <t xml:space="preserve">Récapitulatif </t>
  </si>
  <si>
    <t>Exemple</t>
  </si>
  <si>
    <t>Candidat 1</t>
  </si>
  <si>
    <t>Candidat 2</t>
  </si>
  <si>
    <r>
      <t xml:space="preserve">    </t>
    </r>
    <r>
      <rPr>
        <sz val="28"/>
        <color theme="1"/>
        <rFont val="Segoe Print"/>
      </rPr>
      <t>100</t>
    </r>
    <r>
      <rPr>
        <i/>
        <sz val="28"/>
        <color rgb="FF666666"/>
        <rFont val="Calibri"/>
        <family val="2"/>
      </rPr>
      <t xml:space="preserve">  / 100</t>
    </r>
  </si>
  <si>
    <t>105  -  55   =  50</t>
  </si>
  <si>
    <t>84  -  40  =  44</t>
  </si>
  <si>
    <t xml:space="preserve"> 9   -    4    =   5</t>
  </si>
  <si>
    <t>2    -   1   =   1</t>
  </si>
  <si>
    <r>
      <t xml:space="preserve">   </t>
    </r>
    <r>
      <rPr>
        <sz val="28"/>
        <color theme="1"/>
        <rFont val="Segoe Print"/>
      </rPr>
      <t>200</t>
    </r>
    <r>
      <rPr>
        <i/>
        <sz val="28"/>
        <color rgb="FF666666"/>
        <rFont val="Calibri"/>
        <family val="2"/>
      </rPr>
      <t xml:space="preserve">  / 100</t>
    </r>
  </si>
  <si>
    <t>Récapitulatif  - Exemple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</si>
</sst>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mmmm\ yyyy"/>
    <numFmt numFmtId="165" formatCode="[$-F400]h:mm:ss\ AM/PM"/>
    <numFmt numFmtId="166" formatCode="0.0%"/>
    <numFmt numFmtId="167" formatCode="hh&quot;h&quot;"/>
    <numFmt numFmtId="168" formatCode="0\ %"/>
    <numFmt numFmtId="169" formatCode="0.000"/>
  </numFmts>
  <fonts count="124" x14ac:knownFonts="1">
    <font>
      <sz val="10"/>
      <color rgb="FF000000"/>
      <name val="Arial"/>
      <scheme val="minor"/>
    </font>
    <font>
      <b/>
      <sz val="10"/>
      <color rgb="FF00000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0"/>
      <color rgb="FF666666"/>
      <name val="Calibri"/>
      <family val="2"/>
    </font>
    <font>
      <b/>
      <i/>
      <sz val="10"/>
      <color rgb="FF666666"/>
      <name val="Calibri"/>
      <family val="2"/>
    </font>
    <font>
      <sz val="10"/>
      <color theme="1"/>
      <name val="Calibri"/>
      <family val="2"/>
    </font>
    <font>
      <i/>
      <sz val="10"/>
      <color rgb="FF666666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sz val="10"/>
      <color rgb="FF1F1F1F"/>
      <name val="Calibri"/>
      <family val="2"/>
    </font>
    <font>
      <sz val="10"/>
      <color theme="1"/>
      <name val="Arial"/>
      <family val="2"/>
    </font>
    <font>
      <b/>
      <sz val="10"/>
      <color rgb="FF999999"/>
      <name val="Calibri"/>
      <family val="2"/>
    </font>
    <font>
      <sz val="10"/>
      <color rgb="FF718C00"/>
      <name val="Calibri"/>
      <family val="2"/>
    </font>
    <font>
      <sz val="10"/>
      <color rgb="FF999999"/>
      <name val="Calibri"/>
      <family val="2"/>
    </font>
    <font>
      <sz val="12"/>
      <color rgb="FF999999"/>
      <name val="Calibri"/>
      <family val="2"/>
    </font>
    <font>
      <sz val="9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name val="Calibri"/>
      <family val="2"/>
    </font>
    <font>
      <b/>
      <sz val="12"/>
      <name val="Calibri"/>
      <family val="2"/>
    </font>
    <font>
      <i/>
      <sz val="14"/>
      <color theme="1"/>
      <name val="Calibri"/>
      <family val="2"/>
    </font>
    <font>
      <sz val="10"/>
      <color theme="0" tint="-0.499984740745262"/>
      <name val="Calibri"/>
      <family val="2"/>
    </font>
    <font>
      <sz val="12"/>
      <color theme="0" tint="-0.499984740745262"/>
      <name val="Calibri"/>
      <family val="2"/>
    </font>
    <font>
      <b/>
      <sz val="12"/>
      <color theme="1"/>
      <name val="Calibri"/>
      <family val="2"/>
    </font>
    <font>
      <sz val="8"/>
      <color theme="1"/>
      <name val="Calibri"/>
      <family val="2"/>
    </font>
    <font>
      <b/>
      <sz val="11"/>
      <color rgb="FF000000"/>
      <name val="Arial"/>
      <family val="2"/>
      <scheme val="minor"/>
    </font>
    <font>
      <sz val="10"/>
      <color theme="0"/>
      <name val="Calibri"/>
      <family val="2"/>
    </font>
    <font>
      <sz val="10"/>
      <color theme="1" tint="0.499984740745262"/>
      <name val="Calibri"/>
      <family val="2"/>
    </font>
    <font>
      <sz val="14"/>
      <color rgb="FF000000"/>
      <name val="Arial"/>
      <family val="2"/>
      <scheme val="minor"/>
    </font>
    <font>
      <b/>
      <sz val="18"/>
      <color theme="1"/>
      <name val="Calibri"/>
      <family val="2"/>
    </font>
    <font>
      <b/>
      <sz val="1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theme="4" tint="-0.249977111117893"/>
      <name val="Arial"/>
      <family val="2"/>
      <scheme val="minor"/>
    </font>
    <font>
      <sz val="12"/>
      <color theme="4" tint="-0.249977111117893"/>
      <name val="Arial"/>
      <family val="2"/>
      <scheme val="minor"/>
    </font>
    <font>
      <i/>
      <sz val="9"/>
      <color rgb="FF666666"/>
      <name val="Calibri"/>
      <family val="2"/>
    </font>
    <font>
      <i/>
      <sz val="14"/>
      <color rgb="FF000000"/>
      <name val="Calibri"/>
      <family val="2"/>
    </font>
    <font>
      <i/>
      <u/>
      <sz val="14"/>
      <color rgb="FF000000"/>
      <name val="Calibri"/>
      <family val="2"/>
    </font>
    <font>
      <b/>
      <sz val="10"/>
      <name val="Arial"/>
      <family val="2"/>
    </font>
    <font>
      <b/>
      <sz val="10"/>
      <name val="Calibri"/>
      <family val="2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i/>
      <sz val="14"/>
      <color theme="0" tint="-0.499984740745262"/>
      <name val="Calibri"/>
      <family val="2"/>
    </font>
    <font>
      <sz val="14"/>
      <name val="Arial"/>
      <family val="2"/>
    </font>
    <font>
      <b/>
      <sz val="14"/>
      <name val="Calibri"/>
      <family val="2"/>
    </font>
    <font>
      <b/>
      <sz val="14"/>
      <name val="Arial"/>
      <family val="2"/>
      <scheme val="minor"/>
    </font>
    <font>
      <b/>
      <sz val="12"/>
      <name val="Arial"/>
      <family val="2"/>
      <scheme val="minor"/>
    </font>
    <font>
      <b/>
      <sz val="14"/>
      <name val="Arial"/>
      <family val="2"/>
    </font>
    <font>
      <i/>
      <sz val="16"/>
      <color rgb="FF666666"/>
      <name val="Calibri"/>
      <family val="2"/>
    </font>
    <font>
      <b/>
      <sz val="36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0"/>
      <color theme="1" tint="0.249977111117893"/>
      <name val="Arial"/>
      <family val="2"/>
      <scheme val="minor"/>
    </font>
    <font>
      <sz val="12"/>
      <color rgb="FF000000"/>
      <name val="Arial"/>
      <family val="2"/>
      <scheme val="minor"/>
    </font>
    <font>
      <sz val="14"/>
      <name val="Arial"/>
      <family val="2"/>
      <scheme val="minor"/>
    </font>
    <font>
      <sz val="11"/>
      <name val="Calibri"/>
      <family val="2"/>
    </font>
    <font>
      <i/>
      <sz val="14"/>
      <color rgb="FF666666"/>
      <name val="Calibri"/>
      <family val="2"/>
    </font>
    <font>
      <b/>
      <i/>
      <sz val="14"/>
      <color theme="0" tint="-0.499984740745262"/>
      <name val="Calibri"/>
      <family val="2"/>
    </font>
    <font>
      <sz val="16"/>
      <color theme="1"/>
      <name val="Calibri"/>
      <family val="2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theme="1"/>
      <name val="Arial"/>
      <family val="2"/>
      <scheme val="minor"/>
    </font>
    <font>
      <sz val="12"/>
      <color theme="0" tint="-0.34998626667073579"/>
      <name val="Calibri"/>
      <family val="2"/>
    </font>
    <font>
      <sz val="12"/>
      <color theme="0" tint="-0.34998626667073579"/>
      <name val="Arial"/>
      <family val="2"/>
      <scheme val="minor"/>
    </font>
    <font>
      <b/>
      <sz val="20"/>
      <name val="Arial"/>
      <family val="2"/>
      <scheme val="minor"/>
    </font>
    <font>
      <sz val="20"/>
      <name val="Arial"/>
      <family val="2"/>
      <scheme val="minor"/>
    </font>
    <font>
      <b/>
      <sz val="18"/>
      <name val="Calibri"/>
      <family val="2"/>
    </font>
    <font>
      <sz val="10"/>
      <color rgb="FF000000"/>
      <name val="Marianne"/>
      <family val="3"/>
    </font>
    <font>
      <b/>
      <sz val="10"/>
      <color theme="1"/>
      <name val="Marianne"/>
      <family val="3"/>
    </font>
    <font>
      <sz val="16"/>
      <color rgb="FF000000"/>
      <name val="Marianne"/>
      <family val="3"/>
    </font>
    <font>
      <b/>
      <sz val="10"/>
      <color rgb="FF666666"/>
      <name val="Marianne"/>
      <family val="3"/>
    </font>
    <font>
      <sz val="10"/>
      <color rgb="FF718C00"/>
      <name val="Marianne"/>
      <family val="3"/>
    </font>
    <font>
      <sz val="24"/>
      <color rgb="FF000000"/>
      <name val="Marianne"/>
      <family val="3"/>
    </font>
    <font>
      <sz val="36"/>
      <color rgb="FF000000"/>
      <name val="Marianne"/>
      <family val="3"/>
    </font>
    <font>
      <b/>
      <sz val="22"/>
      <color rgb="FF000000"/>
      <name val="Marianne"/>
      <family val="3"/>
    </font>
    <font>
      <b/>
      <sz val="20"/>
      <color rgb="FF000000"/>
      <name val="Marianne"/>
      <family val="3"/>
    </font>
    <font>
      <i/>
      <sz val="28"/>
      <color rgb="FF666666"/>
      <name val="Calibri"/>
      <family val="2"/>
    </font>
    <font>
      <sz val="20"/>
      <color rgb="FF000000"/>
      <name val="Arial"/>
      <family val="2"/>
      <scheme val="minor"/>
    </font>
    <font>
      <u/>
      <sz val="48"/>
      <color rgb="FF000000"/>
      <name val="Arial"/>
      <family val="2"/>
      <scheme val="minor"/>
    </font>
    <font>
      <sz val="28"/>
      <name val="Segoe Print"/>
    </font>
    <font>
      <sz val="28"/>
      <color theme="1"/>
      <name val="Segoe Print"/>
    </font>
    <font>
      <sz val="48"/>
      <color rgb="FF000000"/>
      <name val="Marianne"/>
      <family val="3"/>
    </font>
    <font>
      <sz val="22"/>
      <color rgb="FF000000"/>
      <name val="Marianne"/>
      <family val="3"/>
    </font>
    <font>
      <b/>
      <i/>
      <sz val="14"/>
      <color theme="1"/>
      <name val="Calibri"/>
      <family val="2"/>
    </font>
    <font>
      <sz val="11"/>
      <color rgb="FF000000"/>
      <name val="Calibri"/>
      <family val="2"/>
      <charset val="1"/>
    </font>
    <font>
      <b/>
      <sz val="24"/>
      <color rgb="FF000000"/>
      <name val="Marianne"/>
      <family val="3"/>
    </font>
    <font>
      <i/>
      <sz val="10"/>
      <color theme="0" tint="-0.499984740745262"/>
      <name val="Arial"/>
      <family val="2"/>
      <scheme val="minor"/>
    </font>
    <font>
      <b/>
      <sz val="24"/>
      <name val="Marianne"/>
      <family val="3"/>
    </font>
    <font>
      <i/>
      <sz val="12"/>
      <color theme="0" tint="-0.499984740745262"/>
      <name val="Arial"/>
      <family val="2"/>
      <scheme val="minor"/>
    </font>
    <font>
      <sz val="26"/>
      <color rgb="FF000000"/>
      <name val="Marianne"/>
      <family val="3"/>
    </font>
    <font>
      <sz val="72"/>
      <color rgb="FF000000"/>
      <name val="Marianne"/>
      <family val="3"/>
    </font>
    <font>
      <b/>
      <sz val="24"/>
      <color theme="0" tint="-0.499984740745262"/>
      <name val="Marianne"/>
      <family val="3"/>
    </font>
    <font>
      <i/>
      <sz val="12"/>
      <color theme="4" tint="0.39997558519241921"/>
      <name val="Arial"/>
      <family val="2"/>
      <scheme val="minor"/>
    </font>
    <font>
      <sz val="20"/>
      <color theme="1"/>
      <name val="Calibri"/>
      <family val="2"/>
    </font>
    <font>
      <b/>
      <sz val="24"/>
      <color rgb="FF000000"/>
      <name val="Arial"/>
      <family val="2"/>
      <scheme val="minor"/>
    </font>
    <font>
      <b/>
      <i/>
      <sz val="20"/>
      <color rgb="FF000000"/>
      <name val="Arial"/>
      <family val="2"/>
      <scheme val="minor"/>
    </font>
    <font>
      <b/>
      <sz val="22"/>
      <name val="Calibri"/>
      <family val="2"/>
    </font>
    <font>
      <sz val="18"/>
      <name val="Arial"/>
      <family val="2"/>
      <scheme val="minor"/>
    </font>
    <font>
      <i/>
      <sz val="18"/>
      <color rgb="FF666666"/>
      <name val="Calibri"/>
      <family val="2"/>
    </font>
    <font>
      <i/>
      <sz val="20"/>
      <color rgb="FF666666"/>
      <name val="Calibri"/>
      <family val="2"/>
    </font>
    <font>
      <sz val="24"/>
      <name val="Arial"/>
      <family val="2"/>
      <scheme val="minor"/>
    </font>
    <font>
      <i/>
      <sz val="36"/>
      <color rgb="FF666666"/>
      <name val="Calibri"/>
      <family val="2"/>
    </font>
    <font>
      <sz val="20"/>
      <color rgb="FF000000"/>
      <name val="Marianne"/>
      <family val="3"/>
    </font>
    <font>
      <sz val="20"/>
      <color theme="1"/>
      <name val="Marianne"/>
      <family val="3"/>
    </font>
    <font>
      <i/>
      <sz val="20"/>
      <color theme="0" tint="-0.499984740745262"/>
      <name val="Marianne"/>
      <family val="3"/>
    </font>
    <font>
      <sz val="20"/>
      <color rgb="FF718C00"/>
      <name val="Marianne"/>
      <family val="3"/>
    </font>
    <font>
      <i/>
      <sz val="20"/>
      <color rgb="FF666666"/>
      <name val="Marianne"/>
      <family val="3"/>
    </font>
    <font>
      <i/>
      <sz val="20"/>
      <color rgb="FF000000"/>
      <name val="Marianne"/>
      <family val="3"/>
    </font>
    <font>
      <sz val="28"/>
      <color rgb="FF000000"/>
      <name val="Marianne"/>
      <family val="3"/>
    </font>
    <font>
      <b/>
      <sz val="28"/>
      <color theme="1"/>
      <name val="Marianne"/>
      <family val="3"/>
    </font>
    <font>
      <i/>
      <sz val="28"/>
      <color rgb="FF666666"/>
      <name val="Marianne"/>
      <family val="3"/>
    </font>
    <font>
      <b/>
      <i/>
      <sz val="28"/>
      <color theme="1"/>
      <name val="Marianne"/>
      <family val="3"/>
    </font>
    <font>
      <b/>
      <sz val="22"/>
      <name val="Marianne"/>
      <family val="3"/>
    </font>
    <font>
      <sz val="22"/>
      <name val="Marianne"/>
      <family val="3"/>
    </font>
    <font>
      <i/>
      <sz val="22"/>
      <color theme="1" tint="0.14999847407452621"/>
      <name val="Marianne"/>
      <family val="3"/>
    </font>
    <font>
      <i/>
      <sz val="12"/>
      <color theme="0" tint="-0.499984740745262"/>
      <name val="Calibri"/>
      <family val="2"/>
    </font>
    <font>
      <i/>
      <sz val="28"/>
      <color rgb="FF000000"/>
      <name val="Marianne"/>
      <family val="3"/>
    </font>
    <font>
      <b/>
      <sz val="28"/>
      <color rgb="FF000000"/>
      <name val="Marianne"/>
      <family val="3"/>
    </font>
    <font>
      <i/>
      <sz val="24"/>
      <color rgb="FF000000"/>
      <name val="Marianne"/>
      <family val="3"/>
    </font>
    <font>
      <sz val="24"/>
      <color theme="1"/>
      <name val="Marianne"/>
      <family val="3"/>
    </font>
    <font>
      <sz val="12"/>
      <color rgb="FF000000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theme="0" tint="-0.14999847407452621"/>
        <bgColor rgb="FFEFEFE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4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14999847407452621"/>
        <bgColor rgb="FFEFEFE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2" tint="-0.249977111117893"/>
        <bgColor rgb="FFEAD1DC"/>
      </patternFill>
    </fill>
    <fill>
      <patternFill patternType="solid">
        <fgColor theme="2" tint="-0.14999847407452621"/>
        <bgColor rgb="FFF9C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rgb="FFDAF1F3"/>
        <bgColor rgb="FFB7B7B7"/>
      </patternFill>
    </fill>
    <fill>
      <patternFill patternType="solid">
        <fgColor theme="0" tint="-0.14999847407452621"/>
        <bgColor rgb="FFB7B7B7"/>
      </patternFill>
    </fill>
    <fill>
      <patternFill patternType="solid">
        <fgColor rgb="FFE6EEEE"/>
        <bgColor rgb="FFB7B7B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0.249977111117893"/>
        <bgColor rgb="FFEFEFEF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0" tint="-0.14999847407452621"/>
        <bgColor rgb="FFF9CB9C"/>
      </patternFill>
    </fill>
    <fill>
      <patternFill patternType="solid">
        <fgColor theme="0" tint="-0.14999847407452621"/>
        <bgColor rgb="FFB6D7A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rgb="FFEAD1DC"/>
      </patternFill>
    </fill>
    <fill>
      <patternFill patternType="solid">
        <fgColor theme="4"/>
        <bgColor rgb="FFB7B7B7"/>
      </patternFill>
    </fill>
    <fill>
      <patternFill patternType="solid">
        <fgColor theme="5"/>
        <bgColor rgb="FFB7B7B7"/>
      </patternFill>
    </fill>
    <fill>
      <patternFill patternType="solid">
        <fgColor theme="6"/>
        <bgColor rgb="FFB7B7B7"/>
      </patternFill>
    </fill>
    <fill>
      <patternFill patternType="solid">
        <fgColor theme="7"/>
        <bgColor rgb="FFB7B7B7"/>
      </patternFill>
    </fill>
    <fill>
      <patternFill patternType="solid">
        <fgColor theme="8"/>
        <bgColor rgb="FFB7B7B7"/>
      </patternFill>
    </fill>
    <fill>
      <patternFill patternType="solid">
        <fgColor theme="9"/>
        <bgColor rgb="FFB7B7B7"/>
      </patternFill>
    </fill>
    <fill>
      <patternFill patternType="solid">
        <fgColor theme="1"/>
        <bgColor rgb="FFB7B7B7"/>
      </patternFill>
    </fill>
    <fill>
      <patternFill patternType="solid">
        <fgColor theme="4" tint="0.39997558519241921"/>
        <bgColor rgb="FFB7B7B7"/>
      </patternFill>
    </fill>
    <fill>
      <patternFill patternType="solid">
        <fgColor theme="5" tint="0.39997558519241921"/>
        <bgColor rgb="FFB7B7B7"/>
      </patternFill>
    </fill>
    <fill>
      <patternFill patternType="solid">
        <fgColor theme="6" tint="0.39997558519241921"/>
        <bgColor rgb="FFB7B7B7"/>
      </patternFill>
    </fill>
    <fill>
      <patternFill patternType="solid">
        <fgColor theme="7" tint="0.39997558519241921"/>
        <bgColor rgb="FFB7B7B7"/>
      </patternFill>
    </fill>
    <fill>
      <patternFill patternType="solid">
        <fgColor theme="8" tint="0.39997558519241921"/>
        <bgColor rgb="FFB7B7B7"/>
      </patternFill>
    </fill>
    <fill>
      <patternFill patternType="solid">
        <fgColor theme="9" tint="0.39997558519241921"/>
        <bgColor rgb="FFB7B7B7"/>
      </patternFill>
    </fill>
    <fill>
      <patternFill patternType="solid">
        <fgColor theme="1" tint="0.249977111117893"/>
        <bgColor rgb="FFB7B7B7"/>
      </patternFill>
    </fill>
    <fill>
      <patternFill patternType="solid">
        <fgColor theme="9" tint="0.79998168889431442"/>
        <bgColor rgb="FFF4CCCC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rgb="FFFCE5C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FBFBF"/>
        <bgColor rgb="FFD9D9D9"/>
      </patternFill>
    </fill>
    <fill>
      <patternFill patternType="solid">
        <fgColor rgb="FFBFBFB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rgb="FFD9EAD3"/>
      </patternFill>
    </fill>
    <fill>
      <patternFill patternType="solid">
        <fgColor theme="0" tint="-0.14999847407452621"/>
        <bgColor rgb="FFD5A6BD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rgb="FFF4CCCC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D1F1DA"/>
        <bgColor indexed="64"/>
      </patternFill>
    </fill>
    <fill>
      <patternFill patternType="solid">
        <fgColor rgb="FFFEF2C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rgb="FFD9EAD3"/>
      </patternFill>
    </fill>
    <fill>
      <patternFill patternType="solid">
        <fgColor theme="0" tint="-4.9989318521683403E-2"/>
        <bgColor rgb="FFD9D9D9"/>
      </patternFill>
    </fill>
  </fills>
  <borders count="2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thin">
        <color rgb="FFEFEFEF"/>
      </right>
      <top style="medium">
        <color rgb="FFCCCCCC"/>
      </top>
      <bottom style="medium">
        <color rgb="FFCCCCCC"/>
      </bottom>
      <diagonal/>
    </border>
    <border>
      <left style="medium">
        <color rgb="FFD9D9D9"/>
      </left>
      <right/>
      <top style="medium">
        <color rgb="FFCCCCCC"/>
      </top>
      <bottom style="medium">
        <color rgb="FFCCCCCC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 style="medium">
        <color rgb="FFD9D9D9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EFEFEF"/>
      </left>
      <right/>
      <top style="thin">
        <color rgb="FFEFEFEF"/>
      </top>
      <bottom/>
      <diagonal/>
    </border>
    <border>
      <left/>
      <right style="thin">
        <color rgb="FFEFEFEF"/>
      </right>
      <top style="medium">
        <color rgb="FFD9D9D9"/>
      </top>
      <bottom style="medium">
        <color rgb="FFD9D9D9"/>
      </bottom>
      <diagonal/>
    </border>
    <border>
      <left style="thin">
        <color rgb="FFEFEFEF"/>
      </left>
      <right/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thin">
        <color rgb="FFEFEFEF"/>
      </right>
      <top style="medium">
        <color rgb="FFD9D9D9"/>
      </top>
      <bottom style="medium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9900FF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rgb="FF000000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 style="medium">
        <color indexed="64"/>
      </left>
      <right style="thin">
        <color theme="4" tint="0.39997558519241921"/>
      </right>
      <top style="medium">
        <color indexed="64"/>
      </top>
      <bottom/>
      <diagonal/>
    </border>
    <border>
      <left style="medium">
        <color indexed="64"/>
      </left>
      <right style="thin">
        <color theme="4" tint="0.39997558519241921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theme="4" tint="0.39997558519241921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indexed="64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theme="0" tint="-0.499984740745262"/>
      </right>
      <top/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indexed="64"/>
      </top>
      <bottom/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theme="0" tint="-0.499984740745262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medium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/>
      <right style="medium">
        <color theme="0" tint="-0.499984740745262"/>
      </right>
      <top/>
      <bottom style="thin">
        <color indexed="64"/>
      </bottom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0" tint="-0.499984740745262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 tint="-0.499984740745262"/>
      </left>
      <right/>
      <top style="medium">
        <color indexed="64"/>
      </top>
      <bottom style="thin">
        <color theme="0" tint="-0.34998626667073579"/>
      </bottom>
      <diagonal/>
    </border>
    <border>
      <left style="medium">
        <color theme="0" tint="-0.499984740745262"/>
      </left>
      <right/>
      <top style="thin">
        <color theme="0" tint="-0.34998626667073579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0" tint="-0.499984740745262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theme="0" tint="-0.499984740745262"/>
      </right>
      <top style="thin">
        <color theme="0" tint="-0.34998626667073579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9" fillId="0" borderId="0" applyFont="0" applyFill="0" applyBorder="0" applyAlignment="0" applyProtection="0"/>
    <xf numFmtId="0" fontId="19" fillId="0" borderId="0"/>
    <xf numFmtId="0" fontId="87" fillId="0" borderId="0"/>
    <xf numFmtId="168" fontId="87" fillId="0" borderId="0" applyBorder="0" applyProtection="0"/>
  </cellStyleXfs>
  <cellXfs count="842">
    <xf numFmtId="0" fontId="0" fillId="0" borderId="0" xfId="0"/>
    <xf numFmtId="0" fontId="6" fillId="0" borderId="0" xfId="0" applyFont="1"/>
    <xf numFmtId="10" fontId="12" fillId="0" borderId="0" xfId="0" applyNumberFormat="1" applyFont="1"/>
    <xf numFmtId="0" fontId="6" fillId="0" borderId="0" xfId="0" applyFont="1" applyAlignment="1">
      <alignment horizontal="center"/>
    </xf>
    <xf numFmtId="0" fontId="13" fillId="0" borderId="0" xfId="0" applyFont="1"/>
    <xf numFmtId="10" fontId="6" fillId="0" borderId="0" xfId="0" applyNumberFormat="1" applyFont="1" applyAlignment="1">
      <alignment horizontal="right"/>
    </xf>
    <xf numFmtId="0" fontId="17" fillId="5" borderId="31" xfId="0" applyFont="1" applyFill="1" applyBorder="1" applyAlignment="1">
      <alignment horizontal="right"/>
    </xf>
    <xf numFmtId="10" fontId="16" fillId="5" borderId="32" xfId="0" applyNumberFormat="1" applyFont="1" applyFill="1" applyBorder="1" applyAlignment="1">
      <alignment horizontal="center" vertical="center"/>
    </xf>
    <xf numFmtId="0" fontId="17" fillId="5" borderId="33" xfId="0" applyFont="1" applyFill="1" applyBorder="1" applyAlignment="1">
      <alignment horizontal="right"/>
    </xf>
    <xf numFmtId="0" fontId="12" fillId="5" borderId="0" xfId="0" applyFont="1" applyFill="1"/>
    <xf numFmtId="10" fontId="3" fillId="8" borderId="39" xfId="0" applyNumberFormat="1" applyFont="1" applyFill="1" applyBorder="1" applyAlignment="1">
      <alignment horizontal="center" vertical="center"/>
    </xf>
    <xf numFmtId="10" fontId="3" fillId="8" borderId="18" xfId="0" applyNumberFormat="1" applyFont="1" applyFill="1" applyBorder="1" applyAlignment="1">
      <alignment horizontal="center" vertical="center"/>
    </xf>
    <xf numFmtId="10" fontId="3" fillId="8" borderId="40" xfId="0" applyNumberFormat="1" applyFont="1" applyFill="1" applyBorder="1" applyAlignment="1">
      <alignment horizontal="center" vertical="center"/>
    </xf>
    <xf numFmtId="9" fontId="15" fillId="2" borderId="36" xfId="1" applyFont="1" applyFill="1" applyBorder="1"/>
    <xf numFmtId="9" fontId="15" fillId="2" borderId="37" xfId="1" applyFont="1" applyFill="1" applyBorder="1"/>
    <xf numFmtId="3" fontId="8" fillId="3" borderId="43" xfId="0" applyNumberFormat="1" applyFont="1" applyFill="1" applyBorder="1" applyAlignment="1">
      <alignment horizontal="right"/>
    </xf>
    <xf numFmtId="10" fontId="8" fillId="7" borderId="44" xfId="0" applyNumberFormat="1" applyFont="1" applyFill="1" applyBorder="1" applyAlignment="1">
      <alignment horizontal="right"/>
    </xf>
    <xf numFmtId="9" fontId="6" fillId="0" borderId="0" xfId="0" applyNumberFormat="1" applyFont="1"/>
    <xf numFmtId="0" fontId="18" fillId="0" borderId="0" xfId="0" applyFont="1"/>
    <xf numFmtId="0" fontId="3" fillId="16" borderId="8" xfId="0" applyFont="1" applyFill="1" applyBorder="1" applyAlignment="1">
      <alignment horizontal="center"/>
    </xf>
    <xf numFmtId="0" fontId="3" fillId="16" borderId="6" xfId="0" applyFont="1" applyFill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10" fontId="3" fillId="8" borderId="11" xfId="0" applyNumberFormat="1" applyFont="1" applyFill="1" applyBorder="1" applyAlignment="1">
      <alignment horizontal="center" vertical="center"/>
    </xf>
    <xf numFmtId="10" fontId="3" fillId="8" borderId="15" xfId="0" applyNumberFormat="1" applyFont="1" applyFill="1" applyBorder="1" applyAlignment="1">
      <alignment horizontal="center" vertical="center"/>
    </xf>
    <xf numFmtId="10" fontId="3" fillId="8" borderId="14" xfId="0" applyNumberFormat="1" applyFont="1" applyFill="1" applyBorder="1" applyAlignment="1">
      <alignment horizontal="center" vertical="center"/>
    </xf>
    <xf numFmtId="10" fontId="3" fillId="8" borderId="9" xfId="0" applyNumberFormat="1" applyFont="1" applyFill="1" applyBorder="1" applyAlignment="1">
      <alignment horizontal="center" vertical="center"/>
    </xf>
    <xf numFmtId="10" fontId="3" fillId="8" borderId="29" xfId="0" applyNumberFormat="1" applyFont="1" applyFill="1" applyBorder="1" applyAlignment="1">
      <alignment horizontal="center" vertical="center"/>
    </xf>
    <xf numFmtId="10" fontId="3" fillId="8" borderId="19" xfId="0" applyNumberFormat="1" applyFont="1" applyFill="1" applyBorder="1" applyAlignment="1">
      <alignment horizontal="center" vertical="center"/>
    </xf>
    <xf numFmtId="10" fontId="16" fillId="24" borderId="26" xfId="0" applyNumberFormat="1" applyFont="1" applyFill="1" applyBorder="1" applyAlignment="1">
      <alignment horizontal="center" vertical="center"/>
    </xf>
    <xf numFmtId="10" fontId="16" fillId="24" borderId="28" xfId="0" applyNumberFormat="1" applyFont="1" applyFill="1" applyBorder="1" applyAlignment="1">
      <alignment horizontal="center" vertical="center"/>
    </xf>
    <xf numFmtId="10" fontId="16" fillId="24" borderId="30" xfId="0" applyNumberFormat="1" applyFont="1" applyFill="1" applyBorder="1" applyAlignment="1">
      <alignment horizontal="center" vertical="center"/>
    </xf>
    <xf numFmtId="0" fontId="1" fillId="26" borderId="82" xfId="0" applyFont="1" applyFill="1" applyBorder="1" applyAlignment="1">
      <alignment horizontal="center" vertical="center"/>
    </xf>
    <xf numFmtId="9" fontId="15" fillId="2" borderId="75" xfId="1" applyFont="1" applyFill="1" applyBorder="1"/>
    <xf numFmtId="9" fontId="15" fillId="2" borderId="38" xfId="1" applyFont="1" applyFill="1" applyBorder="1"/>
    <xf numFmtId="10" fontId="3" fillId="8" borderId="83" xfId="0" applyNumberFormat="1" applyFont="1" applyFill="1" applyBorder="1" applyAlignment="1">
      <alignment horizontal="center" vertical="center"/>
    </xf>
    <xf numFmtId="10" fontId="3" fillId="8" borderId="84" xfId="0" applyNumberFormat="1" applyFont="1" applyFill="1" applyBorder="1" applyAlignment="1">
      <alignment horizontal="center" vertical="center"/>
    </xf>
    <xf numFmtId="10" fontId="3" fillId="8" borderId="85" xfId="0" applyNumberFormat="1" applyFont="1" applyFill="1" applyBorder="1" applyAlignment="1">
      <alignment horizontal="center" vertical="center"/>
    </xf>
    <xf numFmtId="10" fontId="3" fillId="8" borderId="86" xfId="0" applyNumberFormat="1" applyFont="1" applyFill="1" applyBorder="1" applyAlignment="1">
      <alignment horizontal="center" vertical="center"/>
    </xf>
    <xf numFmtId="3" fontId="11" fillId="25" borderId="43" xfId="0" applyNumberFormat="1" applyFont="1" applyFill="1" applyBorder="1" applyAlignment="1">
      <alignment horizontal="right"/>
    </xf>
    <xf numFmtId="10" fontId="3" fillId="25" borderId="44" xfId="0" applyNumberFormat="1" applyFont="1" applyFill="1" applyBorder="1" applyAlignment="1">
      <alignment horizontal="center" vertical="center"/>
    </xf>
    <xf numFmtId="3" fontId="11" fillId="25" borderId="87" xfId="0" applyNumberFormat="1" applyFont="1" applyFill="1" applyBorder="1" applyAlignment="1">
      <alignment horizontal="right"/>
    </xf>
    <xf numFmtId="10" fontId="3" fillId="25" borderId="88" xfId="0" applyNumberFormat="1" applyFont="1" applyFill="1" applyBorder="1" applyAlignment="1">
      <alignment horizontal="center" vertical="center"/>
    </xf>
    <xf numFmtId="0" fontId="11" fillId="25" borderId="87" xfId="0" applyFont="1" applyFill="1" applyBorder="1" applyAlignment="1">
      <alignment horizontal="right"/>
    </xf>
    <xf numFmtId="10" fontId="3" fillId="25" borderId="89" xfId="0" applyNumberFormat="1" applyFont="1" applyFill="1" applyBorder="1" applyAlignment="1">
      <alignment horizontal="center" vertical="center"/>
    </xf>
    <xf numFmtId="10" fontId="3" fillId="25" borderId="90" xfId="0" applyNumberFormat="1" applyFont="1" applyFill="1" applyBorder="1" applyAlignment="1">
      <alignment horizontal="center" vertical="center"/>
    </xf>
    <xf numFmtId="10" fontId="3" fillId="8" borderId="6" xfId="0" applyNumberFormat="1" applyFont="1" applyFill="1" applyBorder="1" applyAlignment="1">
      <alignment horizontal="center" vertical="center"/>
    </xf>
    <xf numFmtId="10" fontId="3" fillId="8" borderId="103" xfId="0" applyNumberFormat="1" applyFont="1" applyFill="1" applyBorder="1" applyAlignment="1">
      <alignment horizontal="center" vertical="center"/>
    </xf>
    <xf numFmtId="10" fontId="3" fillId="8" borderId="104" xfId="0" applyNumberFormat="1" applyFont="1" applyFill="1" applyBorder="1" applyAlignment="1">
      <alignment horizontal="center" vertical="center"/>
    </xf>
    <xf numFmtId="0" fontId="11" fillId="25" borderId="43" xfId="0" applyFont="1" applyFill="1" applyBorder="1" applyAlignment="1">
      <alignment horizontal="right"/>
    </xf>
    <xf numFmtId="10" fontId="16" fillId="5" borderId="26" xfId="0" applyNumberFormat="1" applyFont="1" applyFill="1" applyBorder="1" applyAlignment="1">
      <alignment horizontal="center" vertical="center"/>
    </xf>
    <xf numFmtId="10" fontId="16" fillId="5" borderId="28" xfId="0" applyNumberFormat="1" applyFont="1" applyFill="1" applyBorder="1" applyAlignment="1">
      <alignment horizontal="center" vertical="center"/>
    </xf>
    <xf numFmtId="10" fontId="16" fillId="5" borderId="30" xfId="0" applyNumberFormat="1" applyFont="1" applyFill="1" applyBorder="1" applyAlignment="1">
      <alignment horizontal="center" vertical="center"/>
    </xf>
    <xf numFmtId="10" fontId="24" fillId="9" borderId="113" xfId="1" applyNumberFormat="1" applyFont="1" applyFill="1" applyBorder="1" applyAlignment="1">
      <alignment horizontal="center"/>
    </xf>
    <xf numFmtId="10" fontId="24" fillId="9" borderId="92" xfId="1" applyNumberFormat="1" applyFont="1" applyFill="1" applyBorder="1" applyAlignment="1">
      <alignment horizontal="center"/>
    </xf>
    <xf numFmtId="0" fontId="24" fillId="11" borderId="114" xfId="0" applyFont="1" applyFill="1" applyBorder="1" applyAlignment="1">
      <alignment horizontal="center"/>
    </xf>
    <xf numFmtId="0" fontId="24" fillId="11" borderId="118" xfId="0" applyFont="1" applyFill="1" applyBorder="1" applyAlignment="1">
      <alignment horizontal="center"/>
    </xf>
    <xf numFmtId="10" fontId="24" fillId="9" borderId="119" xfId="1" applyNumberFormat="1" applyFont="1" applyFill="1" applyBorder="1" applyAlignment="1">
      <alignment horizontal="center"/>
    </xf>
    <xf numFmtId="10" fontId="24" fillId="9" borderId="120" xfId="1" applyNumberFormat="1" applyFont="1" applyFill="1" applyBorder="1" applyAlignment="1">
      <alignment horizontal="center"/>
    </xf>
    <xf numFmtId="10" fontId="25" fillId="11" borderId="123" xfId="1" applyNumberFormat="1" applyFont="1" applyFill="1" applyBorder="1" applyAlignment="1">
      <alignment horizontal="right"/>
    </xf>
    <xf numFmtId="10" fontId="25" fillId="11" borderId="124" xfId="1" applyNumberFormat="1" applyFont="1" applyFill="1" applyBorder="1" applyAlignment="1">
      <alignment horizontal="right"/>
    </xf>
    <xf numFmtId="0" fontId="16" fillId="23" borderId="25" xfId="0" applyFont="1" applyFill="1" applyBorder="1" applyAlignment="1">
      <alignment horizontal="center" vertical="center"/>
    </xf>
    <xf numFmtId="0" fontId="16" fillId="23" borderId="27" xfId="0" applyFont="1" applyFill="1" applyBorder="1" applyAlignment="1">
      <alignment horizontal="center" vertical="center"/>
    </xf>
    <xf numFmtId="0" fontId="24" fillId="11" borderId="115" xfId="0" applyFont="1" applyFill="1" applyBorder="1" applyAlignment="1">
      <alignment horizontal="center"/>
    </xf>
    <xf numFmtId="0" fontId="24" fillId="11" borderId="69" xfId="0" applyFont="1" applyFill="1" applyBorder="1" applyAlignment="1">
      <alignment horizontal="center"/>
    </xf>
    <xf numFmtId="0" fontId="24" fillId="11" borderId="107" xfId="0" applyFont="1" applyFill="1" applyBorder="1" applyAlignment="1">
      <alignment horizontal="center"/>
    </xf>
    <xf numFmtId="0" fontId="24" fillId="11" borderId="108" xfId="0" applyFont="1" applyFill="1" applyBorder="1" applyAlignment="1">
      <alignment horizontal="center"/>
    </xf>
    <xf numFmtId="0" fontId="24" fillId="30" borderId="116" xfId="0" applyFont="1" applyFill="1" applyBorder="1" applyAlignment="1">
      <alignment horizontal="center"/>
    </xf>
    <xf numFmtId="10" fontId="24" fillId="9" borderId="65" xfId="1" applyNumberFormat="1" applyFont="1" applyFill="1" applyBorder="1" applyAlignment="1">
      <alignment horizontal="center"/>
    </xf>
    <xf numFmtId="10" fontId="24" fillId="9" borderId="106" xfId="1" applyNumberFormat="1" applyFont="1" applyFill="1" applyBorder="1" applyAlignment="1">
      <alignment horizontal="center"/>
    </xf>
    <xf numFmtId="10" fontId="24" fillId="9" borderId="91" xfId="1" applyNumberFormat="1" applyFont="1" applyFill="1" applyBorder="1" applyAlignment="1">
      <alignment horizontal="center"/>
    </xf>
    <xf numFmtId="10" fontId="24" fillId="9" borderId="48" xfId="1" applyNumberFormat="1" applyFont="1" applyFill="1" applyBorder="1" applyAlignment="1">
      <alignment horizontal="center"/>
    </xf>
    <xf numFmtId="10" fontId="24" fillId="9" borderId="34" xfId="1" applyNumberFormat="1" applyFont="1" applyFill="1" applyBorder="1" applyAlignment="1">
      <alignment horizontal="center"/>
    </xf>
    <xf numFmtId="10" fontId="24" fillId="9" borderId="49" xfId="1" applyNumberFormat="1" applyFont="1" applyFill="1" applyBorder="1" applyAlignment="1">
      <alignment horizontal="center"/>
    </xf>
    <xf numFmtId="0" fontId="24" fillId="30" borderId="117" xfId="0" applyFont="1" applyFill="1" applyBorder="1" applyAlignment="1">
      <alignment horizontal="center"/>
    </xf>
    <xf numFmtId="10" fontId="24" fillId="9" borderId="80" xfId="1" applyNumberFormat="1" applyFont="1" applyFill="1" applyBorder="1" applyAlignment="1">
      <alignment horizontal="center"/>
    </xf>
    <xf numFmtId="10" fontId="24" fillId="9" borderId="96" xfId="1" applyNumberFormat="1" applyFont="1" applyFill="1" applyBorder="1" applyAlignment="1">
      <alignment horizontal="center"/>
    </xf>
    <xf numFmtId="10" fontId="24" fillId="9" borderId="54" xfId="1" applyNumberFormat="1" applyFont="1" applyFill="1" applyBorder="1" applyAlignment="1">
      <alignment horizontal="center"/>
    </xf>
    <xf numFmtId="0" fontId="25" fillId="11" borderId="121" xfId="0" applyFont="1" applyFill="1" applyBorder="1" applyAlignment="1">
      <alignment horizontal="right"/>
    </xf>
    <xf numFmtId="10" fontId="25" fillId="11" borderId="122" xfId="1" applyNumberFormat="1" applyFont="1" applyFill="1" applyBorder="1" applyAlignment="1">
      <alignment horizontal="right"/>
    </xf>
    <xf numFmtId="10" fontId="25" fillId="11" borderId="111" xfId="1" applyNumberFormat="1" applyFont="1" applyFill="1" applyBorder="1" applyAlignment="1">
      <alignment horizontal="right"/>
    </xf>
    <xf numFmtId="10" fontId="25" fillId="11" borderId="112" xfId="1" applyNumberFormat="1" applyFont="1" applyFill="1" applyBorder="1" applyAlignment="1">
      <alignment horizontal="right"/>
    </xf>
    <xf numFmtId="0" fontId="21" fillId="14" borderId="60" xfId="0" applyFont="1" applyFill="1" applyBorder="1" applyAlignment="1" applyProtection="1">
      <alignment horizontal="center" vertical="center"/>
      <protection locked="0"/>
    </xf>
    <xf numFmtId="0" fontId="21" fillId="14" borderId="64" xfId="0" applyFont="1" applyFill="1" applyBorder="1" applyAlignment="1" applyProtection="1">
      <alignment horizontal="center" vertical="center"/>
      <protection locked="0"/>
    </xf>
    <xf numFmtId="3" fontId="21" fillId="14" borderId="48" xfId="0" applyNumberFormat="1" applyFont="1" applyFill="1" applyBorder="1" applyAlignment="1" applyProtection="1">
      <alignment horizontal="center" vertical="center"/>
      <protection locked="0"/>
    </xf>
    <xf numFmtId="3" fontId="21" fillId="14" borderId="49" xfId="0" applyNumberFormat="1" applyFont="1" applyFill="1" applyBorder="1" applyAlignment="1" applyProtection="1">
      <alignment horizontal="center" vertical="center"/>
      <protection locked="0"/>
    </xf>
    <xf numFmtId="3" fontId="31" fillId="11" borderId="49" xfId="0" applyNumberFormat="1" applyFont="1" applyFill="1" applyBorder="1" applyAlignment="1">
      <alignment horizontal="center" vertical="center"/>
    </xf>
    <xf numFmtId="3" fontId="31" fillId="18" borderId="49" xfId="0" applyNumberFormat="1" applyFont="1" applyFill="1" applyBorder="1" applyAlignment="1" applyProtection="1">
      <alignment horizontal="center" vertical="center"/>
      <protection locked="0"/>
    </xf>
    <xf numFmtId="3" fontId="31" fillId="11" borderId="51" xfId="0" applyNumberFormat="1" applyFont="1" applyFill="1" applyBorder="1" applyAlignment="1">
      <alignment horizontal="center" vertical="center"/>
    </xf>
    <xf numFmtId="0" fontId="19" fillId="0" borderId="0" xfId="0" applyFont="1"/>
    <xf numFmtId="0" fontId="21" fillId="14" borderId="46" xfId="0" applyFont="1" applyFill="1" applyBorder="1" applyAlignment="1" applyProtection="1">
      <alignment horizontal="center" vertical="center"/>
      <protection locked="0"/>
    </xf>
    <xf numFmtId="0" fontId="21" fillId="14" borderId="48" xfId="0" applyFont="1" applyFill="1" applyBorder="1" applyAlignment="1" applyProtection="1">
      <alignment horizontal="center" vertical="center"/>
      <protection locked="0"/>
    </xf>
    <xf numFmtId="3" fontId="21" fillId="14" borderId="50" xfId="0" applyNumberFormat="1" applyFont="1" applyFill="1" applyBorder="1" applyAlignment="1" applyProtection="1">
      <alignment horizontal="center" vertical="center"/>
      <protection locked="0"/>
    </xf>
    <xf numFmtId="3" fontId="21" fillId="14" borderId="51" xfId="0" applyNumberFormat="1" applyFont="1" applyFill="1" applyBorder="1" applyAlignment="1" applyProtection="1">
      <alignment horizontal="center" vertical="center"/>
      <protection locked="0"/>
    </xf>
    <xf numFmtId="0" fontId="0" fillId="14" borderId="64" xfId="0" applyFill="1" applyBorder="1" applyAlignment="1" applyProtection="1">
      <alignment horizontal="center" vertical="center"/>
      <protection locked="0"/>
    </xf>
    <xf numFmtId="0" fontId="0" fillId="14" borderId="49" xfId="0" applyFill="1" applyBorder="1" applyAlignment="1" applyProtection="1">
      <alignment horizontal="center" vertical="center"/>
      <protection locked="0"/>
    </xf>
    <xf numFmtId="0" fontId="0" fillId="14" borderId="48" xfId="0" applyFill="1" applyBorder="1" applyAlignment="1" applyProtection="1">
      <alignment horizontal="center" vertical="center"/>
      <protection locked="0"/>
    </xf>
    <xf numFmtId="0" fontId="0" fillId="14" borderId="61" xfId="0" applyFill="1" applyBorder="1" applyAlignment="1" applyProtection="1">
      <alignment horizontal="center" vertical="center"/>
      <protection locked="0"/>
    </xf>
    <xf numFmtId="0" fontId="0" fillId="14" borderId="51" xfId="0" applyFill="1" applyBorder="1" applyAlignment="1" applyProtection="1">
      <alignment horizontal="center" vertical="center"/>
      <protection locked="0"/>
    </xf>
    <xf numFmtId="0" fontId="0" fillId="14" borderId="50" xfId="0" applyFill="1" applyBorder="1" applyAlignment="1" applyProtection="1">
      <alignment horizontal="center" vertical="center"/>
      <protection locked="0"/>
    </xf>
    <xf numFmtId="0" fontId="31" fillId="11" borderId="49" xfId="0" applyFont="1" applyFill="1" applyBorder="1" applyAlignment="1">
      <alignment horizontal="center" vertical="center"/>
    </xf>
    <xf numFmtId="0" fontId="6" fillId="0" borderId="0" xfId="0" applyFont="1" applyProtection="1">
      <protection hidden="1"/>
    </xf>
    <xf numFmtId="0" fontId="6" fillId="0" borderId="136" xfId="0" applyFont="1" applyBorder="1" applyProtection="1">
      <protection hidden="1"/>
    </xf>
    <xf numFmtId="0" fontId="6" fillId="6" borderId="35" xfId="0" applyFont="1" applyFill="1" applyBorder="1" applyProtection="1">
      <protection hidden="1"/>
    </xf>
    <xf numFmtId="0" fontId="27" fillId="31" borderId="129" xfId="0" applyFont="1" applyFill="1" applyBorder="1" applyProtection="1">
      <protection hidden="1"/>
    </xf>
    <xf numFmtId="0" fontId="27" fillId="32" borderId="130" xfId="0" applyFont="1" applyFill="1" applyBorder="1" applyProtection="1">
      <protection hidden="1"/>
    </xf>
    <xf numFmtId="0" fontId="27" fillId="33" borderId="130" xfId="0" applyFont="1" applyFill="1" applyBorder="1" applyProtection="1">
      <protection hidden="1"/>
    </xf>
    <xf numFmtId="0" fontId="27" fillId="34" borderId="130" xfId="0" applyFont="1" applyFill="1" applyBorder="1" applyProtection="1">
      <protection hidden="1"/>
    </xf>
    <xf numFmtId="0" fontId="27" fillId="35" borderId="130" xfId="0" applyFont="1" applyFill="1" applyBorder="1" applyProtection="1">
      <protection hidden="1"/>
    </xf>
    <xf numFmtId="0" fontId="27" fillId="36" borderId="130" xfId="0" applyFont="1" applyFill="1" applyBorder="1" applyProtection="1">
      <protection hidden="1"/>
    </xf>
    <xf numFmtId="0" fontId="27" fillId="31" borderId="130" xfId="0" applyFont="1" applyFill="1" applyBorder="1" applyProtection="1">
      <protection hidden="1"/>
    </xf>
    <xf numFmtId="0" fontId="29" fillId="37" borderId="89" xfId="0" applyFont="1" applyFill="1" applyBorder="1" applyProtection="1">
      <protection hidden="1"/>
    </xf>
    <xf numFmtId="0" fontId="6" fillId="6" borderId="131" xfId="0" applyFont="1" applyFill="1" applyBorder="1" applyProtection="1">
      <protection hidden="1"/>
    </xf>
    <xf numFmtId="0" fontId="27" fillId="38" borderId="129" xfId="0" applyFont="1" applyFill="1" applyBorder="1" applyProtection="1">
      <protection hidden="1"/>
    </xf>
    <xf numFmtId="0" fontId="27" fillId="39" borderId="130" xfId="0" applyFont="1" applyFill="1" applyBorder="1" applyProtection="1">
      <protection hidden="1"/>
    </xf>
    <xf numFmtId="0" fontId="27" fillId="40" borderId="130" xfId="0" applyFont="1" applyFill="1" applyBorder="1" applyProtection="1">
      <protection hidden="1"/>
    </xf>
    <xf numFmtId="0" fontId="27" fillId="41" borderId="130" xfId="0" applyFont="1" applyFill="1" applyBorder="1" applyProtection="1">
      <protection hidden="1"/>
    </xf>
    <xf numFmtId="0" fontId="27" fillId="42" borderId="130" xfId="0" applyFont="1" applyFill="1" applyBorder="1" applyProtection="1">
      <protection hidden="1"/>
    </xf>
    <xf numFmtId="0" fontId="27" fillId="43" borderId="130" xfId="0" applyFont="1" applyFill="1" applyBorder="1" applyProtection="1">
      <protection hidden="1"/>
    </xf>
    <xf numFmtId="0" fontId="27" fillId="38" borderId="130" xfId="0" applyFont="1" applyFill="1" applyBorder="1" applyProtection="1">
      <protection hidden="1"/>
    </xf>
    <xf numFmtId="0" fontId="29" fillId="44" borderId="89" xfId="0" applyFont="1" applyFill="1" applyBorder="1" applyProtection="1">
      <protection hidden="1"/>
    </xf>
    <xf numFmtId="0" fontId="6" fillId="6" borderId="7" xfId="0" applyFont="1" applyFill="1" applyBorder="1" applyProtection="1">
      <protection hidden="1"/>
    </xf>
    <xf numFmtId="0" fontId="6" fillId="6" borderId="125" xfId="0" applyFont="1" applyFill="1" applyBorder="1" applyProtection="1">
      <protection hidden="1"/>
    </xf>
    <xf numFmtId="0" fontId="6" fillId="6" borderId="15" xfId="0" applyFont="1" applyFill="1" applyBorder="1" applyProtection="1">
      <protection hidden="1"/>
    </xf>
    <xf numFmtId="10" fontId="6" fillId="6" borderId="17" xfId="0" applyNumberFormat="1" applyFont="1" applyFill="1" applyBorder="1" applyProtection="1">
      <protection hidden="1"/>
    </xf>
    <xf numFmtId="10" fontId="6" fillId="6" borderId="16" xfId="0" applyNumberFormat="1" applyFont="1" applyFill="1" applyBorder="1" applyProtection="1">
      <protection hidden="1"/>
    </xf>
    <xf numFmtId="10" fontId="6" fillId="6" borderId="9" xfId="0" applyNumberFormat="1" applyFont="1" applyFill="1" applyBorder="1" applyProtection="1">
      <protection hidden="1"/>
    </xf>
    <xf numFmtId="0" fontId="30" fillId="6" borderId="62" xfId="0" applyFont="1" applyFill="1" applyBorder="1" applyProtection="1">
      <protection hidden="1"/>
    </xf>
    <xf numFmtId="10" fontId="30" fillId="6" borderId="17" xfId="0" applyNumberFormat="1" applyFont="1" applyFill="1" applyBorder="1" applyProtection="1">
      <protection hidden="1"/>
    </xf>
    <xf numFmtId="10" fontId="30" fillId="6" borderId="16" xfId="0" applyNumberFormat="1" applyFont="1" applyFill="1" applyBorder="1" applyProtection="1">
      <protection hidden="1"/>
    </xf>
    <xf numFmtId="10" fontId="30" fillId="6" borderId="9" xfId="0" applyNumberFormat="1" applyFont="1" applyFill="1" applyBorder="1" applyProtection="1">
      <protection hidden="1"/>
    </xf>
    <xf numFmtId="0" fontId="30" fillId="6" borderId="134" xfId="0" applyFont="1" applyFill="1" applyBorder="1" applyProtection="1">
      <protection hidden="1"/>
    </xf>
    <xf numFmtId="0" fontId="30" fillId="6" borderId="127" xfId="0" applyFont="1" applyFill="1" applyBorder="1" applyProtection="1">
      <protection hidden="1"/>
    </xf>
    <xf numFmtId="10" fontId="30" fillId="6" borderId="97" xfId="0" applyNumberFormat="1" applyFont="1" applyFill="1" applyBorder="1" applyProtection="1">
      <protection hidden="1"/>
    </xf>
    <xf numFmtId="10" fontId="30" fillId="6" borderId="126" xfId="0" applyNumberFormat="1" applyFont="1" applyFill="1" applyBorder="1" applyProtection="1">
      <protection hidden="1"/>
    </xf>
    <xf numFmtId="10" fontId="30" fillId="6" borderId="132" xfId="0" applyNumberFormat="1" applyFont="1" applyFill="1" applyBorder="1" applyProtection="1">
      <protection hidden="1"/>
    </xf>
    <xf numFmtId="0" fontId="30" fillId="6" borderId="135" xfId="0" applyFont="1" applyFill="1" applyBorder="1" applyProtection="1">
      <protection hidden="1"/>
    </xf>
    <xf numFmtId="0" fontId="35" fillId="0" borderId="0" xfId="0" applyFont="1"/>
    <xf numFmtId="0" fontId="19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11" borderId="3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4" borderId="60" xfId="0" applyFill="1" applyBorder="1" applyAlignment="1" applyProtection="1">
      <alignment horizontal="center" vertical="center"/>
      <protection locked="0"/>
    </xf>
    <xf numFmtId="0" fontId="0" fillId="14" borderId="47" xfId="0" applyFill="1" applyBorder="1" applyAlignment="1" applyProtection="1">
      <alignment horizontal="center" vertical="center"/>
      <protection locked="0"/>
    </xf>
    <xf numFmtId="0" fontId="0" fillId="14" borderId="46" xfId="0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0" fillId="48" borderId="37" xfId="0" applyFill="1" applyBorder="1" applyAlignment="1" applyProtection="1">
      <alignment horizontal="center" vertical="center"/>
      <protection locked="0"/>
    </xf>
    <xf numFmtId="0" fontId="0" fillId="48" borderId="38" xfId="0" applyFill="1" applyBorder="1" applyAlignment="1" applyProtection="1">
      <alignment horizontal="center" vertical="center"/>
      <protection locked="0"/>
    </xf>
    <xf numFmtId="0" fontId="0" fillId="48" borderId="36" xfId="0" applyFill="1" applyBorder="1" applyAlignment="1" applyProtection="1">
      <alignment horizontal="center" vertical="center"/>
      <protection locked="0"/>
    </xf>
    <xf numFmtId="0" fontId="0" fillId="11" borderId="0" xfId="0" applyFill="1" applyAlignment="1">
      <alignment horizontal="center" vertical="center"/>
    </xf>
    <xf numFmtId="0" fontId="1" fillId="46" borderId="143" xfId="0" applyFont="1" applyFill="1" applyBorder="1" applyAlignment="1">
      <alignment horizontal="center"/>
    </xf>
    <xf numFmtId="0" fontId="41" fillId="46" borderId="144" xfId="0" applyFont="1" applyFill="1" applyBorder="1" applyAlignment="1">
      <alignment horizontal="center" vertical="center"/>
    </xf>
    <xf numFmtId="0" fontId="41" fillId="46" borderId="95" xfId="0" applyFont="1" applyFill="1" applyBorder="1" applyAlignment="1">
      <alignment horizontal="center" vertical="center"/>
    </xf>
    <xf numFmtId="0" fontId="41" fillId="46" borderId="145" xfId="0" applyFont="1" applyFill="1" applyBorder="1" applyAlignment="1">
      <alignment horizontal="center" vertical="center"/>
    </xf>
    <xf numFmtId="0" fontId="40" fillId="11" borderId="145" xfId="0" applyFont="1" applyFill="1" applyBorder="1" applyAlignment="1">
      <alignment horizontal="center" vertical="center"/>
    </xf>
    <xf numFmtId="0" fontId="40" fillId="11" borderId="14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4" borderId="156" xfId="0" applyFont="1" applyFill="1" applyBorder="1" applyAlignment="1">
      <alignment horizontal="center" vertical="center"/>
    </xf>
    <xf numFmtId="0" fontId="42" fillId="14" borderId="64" xfId="0" applyFont="1" applyFill="1" applyBorder="1" applyAlignment="1" applyProtection="1">
      <alignment horizontal="center" vertical="center"/>
      <protection locked="0"/>
    </xf>
    <xf numFmtId="0" fontId="42" fillId="14" borderId="49" xfId="0" applyFont="1" applyFill="1" applyBorder="1" applyAlignment="1" applyProtection="1">
      <alignment horizontal="center" vertical="center"/>
      <protection locked="0"/>
    </xf>
    <xf numFmtId="0" fontId="42" fillId="14" borderId="48" xfId="0" applyFont="1" applyFill="1" applyBorder="1" applyAlignment="1" applyProtection="1">
      <alignment horizontal="center" vertical="center"/>
      <protection locked="0"/>
    </xf>
    <xf numFmtId="0" fontId="0" fillId="0" borderId="157" xfId="0" applyBorder="1"/>
    <xf numFmtId="0" fontId="4" fillId="2" borderId="158" xfId="0" applyFont="1" applyFill="1" applyBorder="1" applyAlignment="1">
      <alignment horizontal="center"/>
    </xf>
    <xf numFmtId="0" fontId="6" fillId="46" borderId="8" xfId="0" applyFont="1" applyFill="1" applyBorder="1" applyAlignment="1">
      <alignment vertical="center"/>
    </xf>
    <xf numFmtId="0" fontId="6" fillId="46" borderId="10" xfId="0" applyFont="1" applyFill="1" applyBorder="1" applyAlignment="1">
      <alignment vertical="center"/>
    </xf>
    <xf numFmtId="0" fontId="6" fillId="46" borderId="12" xfId="0" applyFont="1" applyFill="1" applyBorder="1" applyAlignment="1">
      <alignment vertical="center"/>
    </xf>
    <xf numFmtId="0" fontId="10" fillId="15" borderId="14" xfId="0" applyFont="1" applyFill="1" applyBorder="1" applyAlignment="1" applyProtection="1">
      <alignment horizontal="center" vertical="center"/>
      <protection locked="0"/>
    </xf>
    <xf numFmtId="0" fontId="40" fillId="11" borderId="72" xfId="0" applyFont="1" applyFill="1" applyBorder="1" applyAlignment="1">
      <alignment horizontal="center" vertical="center"/>
    </xf>
    <xf numFmtId="0" fontId="6" fillId="46" borderId="72" xfId="0" applyFont="1" applyFill="1" applyBorder="1" applyAlignment="1">
      <alignment horizontal="center"/>
    </xf>
    <xf numFmtId="0" fontId="6" fillId="46" borderId="147" xfId="0" applyFont="1" applyFill="1" applyBorder="1" applyAlignment="1">
      <alignment horizontal="center"/>
    </xf>
    <xf numFmtId="0" fontId="6" fillId="46" borderId="160" xfId="0" applyFont="1" applyFill="1" applyBorder="1" applyAlignment="1">
      <alignment horizontal="center"/>
    </xf>
    <xf numFmtId="0" fontId="21" fillId="2" borderId="36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0" fontId="42" fillId="48" borderId="37" xfId="0" applyFont="1" applyFill="1" applyBorder="1" applyAlignment="1" applyProtection="1">
      <alignment horizontal="center" vertical="center"/>
      <protection locked="0"/>
    </xf>
    <xf numFmtId="0" fontId="42" fillId="9" borderId="35" xfId="0" applyFont="1" applyFill="1" applyBorder="1" applyAlignment="1">
      <alignment horizontal="center" vertical="center"/>
    </xf>
    <xf numFmtId="0" fontId="42" fillId="48" borderId="38" xfId="0" applyFont="1" applyFill="1" applyBorder="1" applyAlignment="1" applyProtection="1">
      <alignment horizontal="center" vertical="center"/>
      <protection locked="0"/>
    </xf>
    <xf numFmtId="0" fontId="42" fillId="14" borderId="61" xfId="0" applyFont="1" applyFill="1" applyBorder="1" applyAlignment="1" applyProtection="1">
      <alignment horizontal="center" vertical="center"/>
      <protection locked="0"/>
    </xf>
    <xf numFmtId="0" fontId="42" fillId="14" borderId="51" xfId="0" applyFont="1" applyFill="1" applyBorder="1" applyAlignment="1" applyProtection="1">
      <alignment horizontal="center" vertical="center"/>
      <protection locked="0"/>
    </xf>
    <xf numFmtId="0" fontId="42" fillId="14" borderId="50" xfId="0" applyFont="1" applyFill="1" applyBorder="1" applyAlignment="1" applyProtection="1">
      <alignment horizontal="center" vertical="center"/>
      <protection locked="0"/>
    </xf>
    <xf numFmtId="0" fontId="0" fillId="0" borderId="164" xfId="0" applyBorder="1"/>
    <xf numFmtId="0" fontId="7" fillId="2" borderId="170" xfId="0" applyFont="1" applyFill="1" applyBorder="1" applyAlignment="1">
      <alignment horizontal="center"/>
    </xf>
    <xf numFmtId="0" fontId="7" fillId="4" borderId="171" xfId="0" applyFont="1" applyFill="1" applyBorder="1" applyAlignment="1">
      <alignment horizontal="center" vertical="center"/>
    </xf>
    <xf numFmtId="0" fontId="37" fillId="2" borderId="170" xfId="0" applyFont="1" applyFill="1" applyBorder="1" applyAlignment="1">
      <alignment horizontal="center" vertical="center" wrapText="1"/>
    </xf>
    <xf numFmtId="0" fontId="37" fillId="2" borderId="156" xfId="0" applyFont="1" applyFill="1" applyBorder="1" applyAlignment="1">
      <alignment horizontal="center" vertical="center" wrapText="1"/>
    </xf>
    <xf numFmtId="0" fontId="7" fillId="4" borderId="172" xfId="0" applyFont="1" applyFill="1" applyBorder="1" applyAlignment="1">
      <alignment horizontal="center" vertical="center"/>
    </xf>
    <xf numFmtId="0" fontId="7" fillId="4" borderId="173" xfId="0" applyFont="1" applyFill="1" applyBorder="1" applyAlignment="1">
      <alignment horizontal="center" vertical="center"/>
    </xf>
    <xf numFmtId="0" fontId="7" fillId="2" borderId="174" xfId="0" applyFont="1" applyFill="1" applyBorder="1" applyAlignment="1">
      <alignment horizontal="center"/>
    </xf>
    <xf numFmtId="0" fontId="37" fillId="2" borderId="172" xfId="0" applyFont="1" applyFill="1" applyBorder="1" applyAlignment="1">
      <alignment horizontal="center" vertical="center" wrapText="1"/>
    </xf>
    <xf numFmtId="3" fontId="8" fillId="50" borderId="4" xfId="0" applyNumberFormat="1" applyFont="1" applyFill="1" applyBorder="1" applyAlignment="1">
      <alignment horizontal="right"/>
    </xf>
    <xf numFmtId="0" fontId="7" fillId="2" borderId="176" xfId="0" applyFont="1" applyFill="1" applyBorder="1" applyAlignment="1">
      <alignment horizontal="center"/>
    </xf>
    <xf numFmtId="0" fontId="43" fillId="54" borderId="69" xfId="0" applyFont="1" applyFill="1" applyBorder="1" applyAlignment="1">
      <alignment horizontal="center" vertical="center" wrapText="1"/>
    </xf>
    <xf numFmtId="0" fontId="43" fillId="54" borderId="108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3" fontId="3" fillId="9" borderId="36" xfId="0" applyNumberFormat="1" applyFont="1" applyFill="1" applyBorder="1" applyAlignment="1">
      <alignment horizontal="center" vertical="center" wrapText="1"/>
    </xf>
    <xf numFmtId="3" fontId="3" fillId="10" borderId="83" xfId="0" applyNumberFormat="1" applyFont="1" applyFill="1" applyBorder="1" applyAlignment="1">
      <alignment horizontal="center"/>
    </xf>
    <xf numFmtId="3" fontId="3" fillId="9" borderId="17" xfId="0" applyNumberFormat="1" applyFont="1" applyFill="1" applyBorder="1" applyAlignment="1">
      <alignment horizontal="center" vertical="center"/>
    </xf>
    <xf numFmtId="3" fontId="3" fillId="9" borderId="16" xfId="0" applyNumberFormat="1" applyFont="1" applyFill="1" applyBorder="1" applyAlignment="1">
      <alignment horizontal="center" vertical="center"/>
    </xf>
    <xf numFmtId="0" fontId="3" fillId="9" borderId="46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01" xfId="0" applyFont="1" applyFill="1" applyBorder="1" applyAlignment="1">
      <alignment horizontal="center" vertical="center"/>
    </xf>
    <xf numFmtId="0" fontId="3" fillId="9" borderId="98" xfId="0" applyFont="1" applyFill="1" applyBorder="1" applyAlignment="1">
      <alignment horizontal="center" vertical="center"/>
    </xf>
    <xf numFmtId="3" fontId="3" fillId="9" borderId="37" xfId="0" applyNumberFormat="1" applyFont="1" applyFill="1" applyBorder="1" applyAlignment="1">
      <alignment horizontal="center" vertical="center" wrapText="1"/>
    </xf>
    <xf numFmtId="3" fontId="3" fillId="10" borderId="73" xfId="0" applyNumberFormat="1" applyFont="1" applyFill="1" applyBorder="1" applyAlignment="1">
      <alignment horizontal="center"/>
    </xf>
    <xf numFmtId="0" fontId="3" fillId="9" borderId="48" xfId="0" applyFont="1" applyFill="1" applyBorder="1" applyAlignment="1">
      <alignment horizontal="center" vertical="center"/>
    </xf>
    <xf numFmtId="0" fontId="3" fillId="9" borderId="99" xfId="0" applyFont="1" applyFill="1" applyBorder="1" applyAlignment="1">
      <alignment horizontal="center" vertical="center"/>
    </xf>
    <xf numFmtId="3" fontId="3" fillId="9" borderId="42" xfId="0" applyNumberFormat="1" applyFont="1" applyFill="1" applyBorder="1" applyAlignment="1">
      <alignment horizontal="center" vertical="center" wrapText="1"/>
    </xf>
    <xf numFmtId="3" fontId="3" fillId="10" borderId="75" xfId="0" applyNumberFormat="1" applyFont="1" applyFill="1" applyBorder="1" applyAlignment="1">
      <alignment horizontal="center"/>
    </xf>
    <xf numFmtId="0" fontId="3" fillId="9" borderId="74" xfId="0" applyFont="1" applyFill="1" applyBorder="1" applyAlignment="1">
      <alignment horizontal="center" vertical="center"/>
    </xf>
    <xf numFmtId="0" fontId="3" fillId="9" borderId="80" xfId="0" applyFont="1" applyFill="1" applyBorder="1" applyAlignment="1">
      <alignment horizontal="center" vertical="center"/>
    </xf>
    <xf numFmtId="0" fontId="3" fillId="9" borderId="100" xfId="0" applyFont="1" applyFill="1" applyBorder="1" applyAlignment="1">
      <alignment horizontal="center" vertical="center"/>
    </xf>
    <xf numFmtId="0" fontId="19" fillId="11" borderId="34" xfId="0" applyFont="1" applyFill="1" applyBorder="1"/>
    <xf numFmtId="0" fontId="0" fillId="11" borderId="34" xfId="0" applyFill="1" applyBorder="1"/>
    <xf numFmtId="0" fontId="6" fillId="46" borderId="98" xfId="0" applyFont="1" applyFill="1" applyBorder="1" applyAlignment="1">
      <alignment vertical="center"/>
    </xf>
    <xf numFmtId="0" fontId="6" fillId="46" borderId="99" xfId="0" applyFont="1" applyFill="1" applyBorder="1" applyAlignment="1">
      <alignment vertical="center"/>
    </xf>
    <xf numFmtId="0" fontId="10" fillId="19" borderId="104" xfId="0" applyFont="1" applyFill="1" applyBorder="1" applyAlignment="1">
      <alignment horizontal="center" vertical="center"/>
    </xf>
    <xf numFmtId="0" fontId="0" fillId="0" borderId="183" xfId="0" applyBorder="1"/>
    <xf numFmtId="0" fontId="0" fillId="0" borderId="184" xfId="0" applyBorder="1"/>
    <xf numFmtId="0" fontId="36" fillId="0" borderId="184" xfId="0" applyFont="1" applyBorder="1" applyAlignment="1">
      <alignment vertical="top" wrapText="1"/>
    </xf>
    <xf numFmtId="0" fontId="0" fillId="0" borderId="186" xfId="0" applyBorder="1"/>
    <xf numFmtId="0" fontId="32" fillId="9" borderId="47" xfId="0" applyFont="1" applyFill="1" applyBorder="1" applyAlignment="1">
      <alignment horizontal="center" vertical="center"/>
    </xf>
    <xf numFmtId="0" fontId="33" fillId="9" borderId="49" xfId="0" applyFont="1" applyFill="1" applyBorder="1" applyAlignment="1">
      <alignment horizontal="center" vertical="center"/>
    </xf>
    <xf numFmtId="0" fontId="7" fillId="4" borderId="191" xfId="0" applyFont="1" applyFill="1" applyBorder="1" applyAlignment="1">
      <alignment horizontal="center"/>
    </xf>
    <xf numFmtId="10" fontId="24" fillId="6" borderId="9" xfId="0" applyNumberFormat="1" applyFont="1" applyFill="1" applyBorder="1" applyProtection="1">
      <protection hidden="1"/>
    </xf>
    <xf numFmtId="0" fontId="0" fillId="51" borderId="34" xfId="0" applyFill="1" applyBorder="1"/>
    <xf numFmtId="0" fontId="19" fillId="52" borderId="34" xfId="0" applyFont="1" applyFill="1" applyBorder="1"/>
    <xf numFmtId="0" fontId="19" fillId="55" borderId="34" xfId="0" applyFont="1" applyFill="1" applyBorder="1"/>
    <xf numFmtId="0" fontId="34" fillId="58" borderId="34" xfId="0" applyFont="1" applyFill="1" applyBorder="1"/>
    <xf numFmtId="3" fontId="44" fillId="17" borderId="65" xfId="0" applyNumberFormat="1" applyFont="1" applyFill="1" applyBorder="1" applyAlignment="1">
      <alignment horizontal="right"/>
    </xf>
    <xf numFmtId="3" fontId="44" fillId="27" borderId="66" xfId="0" applyNumberFormat="1" applyFont="1" applyFill="1" applyBorder="1" applyAlignment="1">
      <alignment horizontal="right"/>
    </xf>
    <xf numFmtId="3" fontId="45" fillId="27" borderId="65" xfId="0" applyNumberFormat="1" applyFont="1" applyFill="1" applyBorder="1" applyAlignment="1">
      <alignment horizontal="right"/>
    </xf>
    <xf numFmtId="10" fontId="44" fillId="12" borderId="50" xfId="0" applyNumberFormat="1" applyFont="1" applyFill="1" applyBorder="1"/>
    <xf numFmtId="10" fontId="44" fillId="28" borderId="59" xfId="0" applyNumberFormat="1" applyFont="1" applyFill="1" applyBorder="1"/>
    <xf numFmtId="10" fontId="45" fillId="28" borderId="50" xfId="0" applyNumberFormat="1" applyFont="1" applyFill="1" applyBorder="1"/>
    <xf numFmtId="3" fontId="45" fillId="27" borderId="6" xfId="0" applyNumberFormat="1" applyFont="1" applyFill="1" applyBorder="1" applyAlignment="1">
      <alignment horizontal="right"/>
    </xf>
    <xf numFmtId="10" fontId="45" fillId="47" borderId="77" xfId="0" applyNumberFormat="1" applyFont="1" applyFill="1" applyBorder="1"/>
    <xf numFmtId="0" fontId="19" fillId="0" borderId="0" xfId="2"/>
    <xf numFmtId="0" fontId="7" fillId="0" borderId="0" xfId="2" applyFont="1" applyAlignment="1">
      <alignment horizontal="center" vertical="center"/>
    </xf>
    <xf numFmtId="0" fontId="19" fillId="0" borderId="0" xfId="2" applyAlignment="1" applyProtection="1">
      <alignment horizontal="center" vertical="center"/>
      <protection locked="0"/>
    </xf>
    <xf numFmtId="0" fontId="49" fillId="14" borderId="46" xfId="2" applyFont="1" applyFill="1" applyBorder="1" applyAlignment="1" applyProtection="1">
      <alignment horizontal="center" vertical="center"/>
      <protection locked="0"/>
    </xf>
    <xf numFmtId="0" fontId="49" fillId="14" borderId="56" xfId="2" applyFont="1" applyFill="1" applyBorder="1" applyAlignment="1" applyProtection="1">
      <alignment horizontal="center" vertical="center"/>
      <protection locked="0"/>
    </xf>
    <xf numFmtId="0" fontId="42" fillId="61" borderId="112" xfId="2" applyFont="1" applyFill="1" applyBorder="1" applyAlignment="1" applyProtection="1">
      <alignment horizontal="center" vertical="center"/>
      <protection locked="0"/>
    </xf>
    <xf numFmtId="0" fontId="42" fillId="61" borderId="122" xfId="2" applyFont="1" applyFill="1" applyBorder="1" applyAlignment="1" applyProtection="1">
      <alignment horizontal="center" vertical="center"/>
      <protection locked="0"/>
    </xf>
    <xf numFmtId="0" fontId="42" fillId="61" borderId="193" xfId="2" applyFont="1" applyFill="1" applyBorder="1" applyAlignment="1" applyProtection="1">
      <alignment horizontal="center" vertical="center"/>
      <protection locked="0"/>
    </xf>
    <xf numFmtId="0" fontId="5" fillId="2" borderId="178" xfId="0" applyFont="1" applyFill="1" applyBorder="1" applyAlignment="1">
      <alignment horizontal="center" vertical="center"/>
    </xf>
    <xf numFmtId="0" fontId="7" fillId="4" borderId="195" xfId="0" applyFont="1" applyFill="1" applyBorder="1" applyAlignment="1">
      <alignment horizontal="center"/>
    </xf>
    <xf numFmtId="0" fontId="7" fillId="4" borderId="196" xfId="0" applyFont="1" applyFill="1" applyBorder="1" applyAlignment="1">
      <alignment horizontal="center"/>
    </xf>
    <xf numFmtId="0" fontId="45" fillId="46" borderId="68" xfId="0" applyFont="1" applyFill="1" applyBorder="1"/>
    <xf numFmtId="0" fontId="51" fillId="11" borderId="73" xfId="0" applyFont="1" applyFill="1" applyBorder="1" applyAlignment="1">
      <alignment horizontal="center" vertical="center"/>
    </xf>
    <xf numFmtId="0" fontId="19" fillId="11" borderId="46" xfId="0" applyFont="1" applyFill="1" applyBorder="1"/>
    <xf numFmtId="0" fontId="19" fillId="11" borderId="50" xfId="0" applyFont="1" applyFill="1" applyBorder="1"/>
    <xf numFmtId="0" fontId="1" fillId="46" borderId="197" xfId="0" applyFont="1" applyFill="1" applyBorder="1" applyAlignment="1">
      <alignment horizontal="center"/>
    </xf>
    <xf numFmtId="0" fontId="48" fillId="5" borderId="116" xfId="0" applyFont="1" applyFill="1" applyBorder="1" applyAlignment="1">
      <alignment horizontal="right"/>
    </xf>
    <xf numFmtId="10" fontId="48" fillId="5" borderId="199" xfId="0" applyNumberFormat="1" applyFont="1" applyFill="1" applyBorder="1"/>
    <xf numFmtId="0" fontId="49" fillId="14" borderId="60" xfId="2" applyFont="1" applyFill="1" applyBorder="1" applyAlignment="1" applyProtection="1">
      <alignment horizontal="center" vertical="center"/>
      <protection locked="0"/>
    </xf>
    <xf numFmtId="0" fontId="0" fillId="9" borderId="47" xfId="0" applyFill="1" applyBorder="1" applyAlignment="1">
      <alignment horizontal="center"/>
    </xf>
    <xf numFmtId="0" fontId="0" fillId="9" borderId="51" xfId="0" applyFill="1" applyBorder="1" applyAlignment="1">
      <alignment horizontal="center"/>
    </xf>
    <xf numFmtId="0" fontId="48" fillId="5" borderId="204" xfId="0" applyFont="1" applyFill="1" applyBorder="1" applyAlignment="1">
      <alignment horizontal="right"/>
    </xf>
    <xf numFmtId="10" fontId="48" fillId="5" borderId="205" xfId="0" applyNumberFormat="1" applyFont="1" applyFill="1" applyBorder="1"/>
    <xf numFmtId="0" fontId="41" fillId="46" borderId="102" xfId="0" applyFont="1" applyFill="1" applyBorder="1" applyAlignment="1">
      <alignment horizontal="center" vertical="center"/>
    </xf>
    <xf numFmtId="0" fontId="41" fillId="46" borderId="206" xfId="0" applyFont="1" applyFill="1" applyBorder="1" applyAlignment="1">
      <alignment horizontal="center" vertical="center"/>
    </xf>
    <xf numFmtId="0" fontId="49" fillId="14" borderId="34" xfId="2" applyFont="1" applyFill="1" applyBorder="1" applyAlignment="1" applyProtection="1">
      <alignment horizontal="center" vertical="center"/>
      <protection locked="0"/>
    </xf>
    <xf numFmtId="0" fontId="49" fillId="14" borderId="48" xfId="2" applyFont="1" applyFill="1" applyBorder="1" applyAlignment="1" applyProtection="1">
      <alignment horizontal="center" vertical="center"/>
      <protection locked="0"/>
    </xf>
    <xf numFmtId="0" fontId="42" fillId="62" borderId="35" xfId="2" applyFont="1" applyFill="1" applyBorder="1" applyAlignment="1" applyProtection="1">
      <alignment horizontal="center" vertical="center"/>
      <protection locked="0"/>
    </xf>
    <xf numFmtId="0" fontId="49" fillId="14" borderId="64" xfId="2" applyFont="1" applyFill="1" applyBorder="1" applyAlignment="1" applyProtection="1">
      <alignment horizontal="center" vertical="center"/>
      <protection locked="0"/>
    </xf>
    <xf numFmtId="0" fontId="42" fillId="62" borderId="36" xfId="2" applyFont="1" applyFill="1" applyBorder="1" applyAlignment="1" applyProtection="1">
      <alignment horizontal="center" vertical="center"/>
      <protection locked="0"/>
    </xf>
    <xf numFmtId="0" fontId="42" fillId="62" borderId="37" xfId="2" applyFont="1" applyFill="1" applyBorder="1" applyAlignment="1" applyProtection="1">
      <alignment horizontal="center" vertical="center"/>
      <protection locked="0"/>
    </xf>
    <xf numFmtId="0" fontId="28" fillId="0" borderId="75" xfId="2" applyFont="1" applyBorder="1" applyAlignment="1">
      <alignment horizontal="center" vertical="center"/>
    </xf>
    <xf numFmtId="0" fontId="53" fillId="0" borderId="0" xfId="2" applyFont="1" applyAlignment="1">
      <alignment vertical="center"/>
    </xf>
    <xf numFmtId="0" fontId="6" fillId="6" borderId="102" xfId="0" applyFont="1" applyFill="1" applyBorder="1" applyProtection="1">
      <protection hidden="1"/>
    </xf>
    <xf numFmtId="0" fontId="0" fillId="11" borderId="48" xfId="0" applyFill="1" applyBorder="1"/>
    <xf numFmtId="0" fontId="0" fillId="11" borderId="49" xfId="0" applyFill="1" applyBorder="1"/>
    <xf numFmtId="0" fontId="0" fillId="11" borderId="50" xfId="0" applyFill="1" applyBorder="1"/>
    <xf numFmtId="0" fontId="0" fillId="11" borderId="57" xfId="0" applyFill="1" applyBorder="1"/>
    <xf numFmtId="0" fontId="0" fillId="11" borderId="51" xfId="0" applyFill="1" applyBorder="1"/>
    <xf numFmtId="165" fontId="0" fillId="11" borderId="70" xfId="0" applyNumberFormat="1" applyFill="1" applyBorder="1" applyAlignment="1">
      <alignment horizontal="center" vertical="center"/>
    </xf>
    <xf numFmtId="165" fontId="0" fillId="11" borderId="52" xfId="0" applyNumberFormat="1" applyFill="1" applyBorder="1" applyAlignment="1">
      <alignment horizontal="center" vertical="center"/>
    </xf>
    <xf numFmtId="165" fontId="0" fillId="11" borderId="53" xfId="0" applyNumberFormat="1" applyFill="1" applyBorder="1" applyAlignment="1">
      <alignment horizontal="center" vertical="center"/>
    </xf>
    <xf numFmtId="0" fontId="0" fillId="11" borderId="64" xfId="0" applyFill="1" applyBorder="1"/>
    <xf numFmtId="0" fontId="0" fillId="11" borderId="46" xfId="0" applyFill="1" applyBorder="1"/>
    <xf numFmtId="0" fontId="0" fillId="11" borderId="60" xfId="0" applyFill="1" applyBorder="1"/>
    <xf numFmtId="0" fontId="0" fillId="11" borderId="56" xfId="0" applyFill="1" applyBorder="1"/>
    <xf numFmtId="0" fontId="0" fillId="11" borderId="47" xfId="0" applyFill="1" applyBorder="1"/>
    <xf numFmtId="0" fontId="0" fillId="11" borderId="61" xfId="0" applyFill="1" applyBorder="1"/>
    <xf numFmtId="0" fontId="27" fillId="31" borderId="208" xfId="0" applyFont="1" applyFill="1" applyBorder="1" applyProtection="1">
      <protection hidden="1"/>
    </xf>
    <xf numFmtId="0" fontId="27" fillId="32" borderId="209" xfId="0" applyFont="1" applyFill="1" applyBorder="1" applyProtection="1">
      <protection hidden="1"/>
    </xf>
    <xf numFmtId="0" fontId="27" fillId="33" borderId="209" xfId="0" applyFont="1" applyFill="1" applyBorder="1" applyProtection="1">
      <protection hidden="1"/>
    </xf>
    <xf numFmtId="0" fontId="27" fillId="34" borderId="209" xfId="0" applyFont="1" applyFill="1" applyBorder="1" applyProtection="1">
      <protection hidden="1"/>
    </xf>
    <xf numFmtId="0" fontId="27" fillId="35" borderId="209" xfId="0" applyFont="1" applyFill="1" applyBorder="1" applyProtection="1">
      <protection hidden="1"/>
    </xf>
    <xf numFmtId="0" fontId="27" fillId="36" borderId="209" xfId="0" applyFont="1" applyFill="1" applyBorder="1" applyProtection="1">
      <protection hidden="1"/>
    </xf>
    <xf numFmtId="0" fontId="27" fillId="31" borderId="209" xfId="0" applyFont="1" applyFill="1" applyBorder="1" applyProtection="1">
      <protection hidden="1"/>
    </xf>
    <xf numFmtId="0" fontId="29" fillId="37" borderId="207" xfId="0" applyFont="1" applyFill="1" applyBorder="1" applyProtection="1">
      <protection hidden="1"/>
    </xf>
    <xf numFmtId="165" fontId="55" fillId="11" borderId="210" xfId="0" applyNumberFormat="1" applyFont="1" applyFill="1" applyBorder="1" applyAlignment="1">
      <alignment horizontal="center" vertical="center"/>
    </xf>
    <xf numFmtId="165" fontId="55" fillId="11" borderId="211" xfId="0" applyNumberFormat="1" applyFont="1" applyFill="1" applyBorder="1" applyAlignment="1">
      <alignment horizontal="center" vertical="center"/>
    </xf>
    <xf numFmtId="0" fontId="55" fillId="11" borderId="212" xfId="0" applyFont="1" applyFill="1" applyBorder="1"/>
    <xf numFmtId="0" fontId="55" fillId="11" borderId="213" xfId="0" applyFont="1" applyFill="1" applyBorder="1"/>
    <xf numFmtId="0" fontId="55" fillId="11" borderId="214" xfId="0" applyFont="1" applyFill="1" applyBorder="1"/>
    <xf numFmtId="0" fontId="55" fillId="11" borderId="215" xfId="0" applyFont="1" applyFill="1" applyBorder="1"/>
    <xf numFmtId="0" fontId="55" fillId="11" borderId="106" xfId="0" applyFont="1" applyFill="1" applyBorder="1"/>
    <xf numFmtId="0" fontId="55" fillId="11" borderId="216" xfId="0" applyFont="1" applyFill="1" applyBorder="1"/>
    <xf numFmtId="0" fontId="21" fillId="14" borderId="49" xfId="0" applyFont="1" applyFill="1" applyBorder="1" applyAlignment="1" applyProtection="1">
      <alignment horizontal="center" vertical="center"/>
      <protection locked="0"/>
    </xf>
    <xf numFmtId="0" fontId="21" fillId="14" borderId="47" xfId="0" applyFont="1" applyFill="1" applyBorder="1" applyAlignment="1" applyProtection="1">
      <alignment horizontal="center" vertical="center"/>
      <protection locked="0"/>
    </xf>
    <xf numFmtId="0" fontId="9" fillId="46" borderId="98" xfId="0" applyFont="1" applyFill="1" applyBorder="1" applyAlignment="1">
      <alignment vertical="center"/>
    </xf>
    <xf numFmtId="0" fontId="9" fillId="46" borderId="99" xfId="0" applyFont="1" applyFill="1" applyBorder="1" applyAlignment="1">
      <alignment vertical="center"/>
    </xf>
    <xf numFmtId="0" fontId="9" fillId="11" borderId="46" xfId="0" applyFont="1" applyFill="1" applyBorder="1"/>
    <xf numFmtId="0" fontId="9" fillId="11" borderId="48" xfId="0" applyFont="1" applyFill="1" applyBorder="1"/>
    <xf numFmtId="0" fontId="9" fillId="11" borderId="50" xfId="0" applyFont="1" applyFill="1" applyBorder="1"/>
    <xf numFmtId="0" fontId="58" fillId="19" borderId="35" xfId="0" applyFont="1" applyFill="1" applyBorder="1" applyAlignment="1">
      <alignment horizontal="center" vertical="center" wrapText="1"/>
    </xf>
    <xf numFmtId="0" fontId="45" fillId="2" borderId="68" xfId="0" applyFont="1" applyFill="1" applyBorder="1" applyAlignment="1">
      <alignment horizontal="center"/>
    </xf>
    <xf numFmtId="0" fontId="59" fillId="4" borderId="220" xfId="0" applyFont="1" applyFill="1" applyBorder="1" applyAlignment="1">
      <alignment horizontal="right"/>
    </xf>
    <xf numFmtId="10" fontId="45" fillId="2" borderId="67" xfId="0" applyNumberFormat="1" applyFont="1" applyFill="1" applyBorder="1" applyAlignment="1">
      <alignment horizontal="center"/>
    </xf>
    <xf numFmtId="10" fontId="60" fillId="12" borderId="178" xfId="0" applyNumberFormat="1" applyFont="1" applyFill="1" applyBorder="1"/>
    <xf numFmtId="0" fontId="61" fillId="12" borderId="46" xfId="0" applyFont="1" applyFill="1" applyBorder="1" applyAlignment="1" applyProtection="1">
      <alignment horizontal="right"/>
      <protection locked="0"/>
    </xf>
    <xf numFmtId="0" fontId="61" fillId="12" borderId="60" xfId="0" applyFont="1" applyFill="1" applyBorder="1" applyAlignment="1" applyProtection="1">
      <alignment horizontal="right"/>
      <protection locked="0"/>
    </xf>
    <xf numFmtId="3" fontId="62" fillId="12" borderId="65" xfId="0" applyNumberFormat="1" applyFont="1" applyFill="1" applyBorder="1" applyAlignment="1" applyProtection="1">
      <alignment horizontal="right"/>
      <protection locked="0"/>
    </xf>
    <xf numFmtId="3" fontId="62" fillId="12" borderId="91" xfId="0" applyNumberFormat="1" applyFont="1" applyFill="1" applyBorder="1" applyAlignment="1" applyProtection="1">
      <alignment horizontal="right"/>
      <protection locked="0"/>
    </xf>
    <xf numFmtId="10" fontId="63" fillId="12" borderId="50" xfId="0" applyNumberFormat="1" applyFont="1" applyFill="1" applyBorder="1"/>
    <xf numFmtId="10" fontId="63" fillId="12" borderId="61" xfId="0" applyNumberFormat="1" applyFont="1" applyFill="1" applyBorder="1"/>
    <xf numFmtId="10" fontId="63" fillId="12" borderId="51" xfId="0" applyNumberFormat="1" applyFont="1" applyFill="1" applyBorder="1"/>
    <xf numFmtId="165" fontId="9" fillId="21" borderId="76" xfId="0" applyNumberFormat="1" applyFont="1" applyFill="1" applyBorder="1" applyAlignment="1">
      <alignment horizontal="center" vertical="center"/>
    </xf>
    <xf numFmtId="0" fontId="9" fillId="21" borderId="72" xfId="0" applyFont="1" applyFill="1" applyBorder="1" applyAlignment="1">
      <alignment horizontal="center" vertical="center"/>
    </xf>
    <xf numFmtId="10" fontId="64" fillId="9" borderId="112" xfId="1" applyNumberFormat="1" applyFont="1" applyFill="1" applyBorder="1" applyAlignment="1">
      <alignment horizontal="center" vertical="center"/>
    </xf>
    <xf numFmtId="0" fontId="56" fillId="0" borderId="0" xfId="0" applyFont="1"/>
    <xf numFmtId="165" fontId="9" fillId="21" borderId="181" xfId="0" applyNumberFormat="1" applyFont="1" applyFill="1" applyBorder="1" applyAlignment="1">
      <alignment horizontal="center" vertical="center"/>
    </xf>
    <xf numFmtId="0" fontId="9" fillId="20" borderId="105" xfId="0" applyFont="1" applyFill="1" applyBorder="1" applyAlignment="1" applyProtection="1">
      <alignment horizontal="center" vertical="center"/>
      <protection locked="0"/>
    </xf>
    <xf numFmtId="10" fontId="64" fillId="9" borderId="54" xfId="1" applyNumberFormat="1" applyFont="1" applyFill="1" applyBorder="1" applyAlignment="1">
      <alignment horizontal="center" vertical="center"/>
    </xf>
    <xf numFmtId="165" fontId="56" fillId="9" borderId="70" xfId="0" applyNumberFormat="1" applyFont="1" applyFill="1" applyBorder="1" applyAlignment="1">
      <alignment horizontal="center" vertical="center"/>
    </xf>
    <xf numFmtId="0" fontId="56" fillId="9" borderId="47" xfId="0" applyFont="1" applyFill="1" applyBorder="1" applyAlignment="1">
      <alignment horizontal="center" vertical="center"/>
    </xf>
    <xf numFmtId="165" fontId="56" fillId="9" borderId="52" xfId="0" applyNumberFormat="1" applyFont="1" applyFill="1" applyBorder="1" applyAlignment="1">
      <alignment horizontal="center" vertical="center"/>
    </xf>
    <xf numFmtId="0" fontId="56" fillId="9" borderId="49" xfId="0" applyFont="1" applyFill="1" applyBorder="1" applyAlignment="1">
      <alignment horizontal="center" vertical="center"/>
    </xf>
    <xf numFmtId="165" fontId="56" fillId="9" borderId="53" xfId="0" applyNumberFormat="1" applyFont="1" applyFill="1" applyBorder="1" applyAlignment="1">
      <alignment horizontal="center" vertical="center"/>
    </xf>
    <xf numFmtId="0" fontId="56" fillId="9" borderId="51" xfId="0" applyFont="1" applyFill="1" applyBorder="1" applyAlignment="1">
      <alignment horizontal="center" vertical="center"/>
    </xf>
    <xf numFmtId="165" fontId="65" fillId="21" borderId="185" xfId="0" applyNumberFormat="1" applyFont="1" applyFill="1" applyBorder="1" applyAlignment="1">
      <alignment horizontal="center" vertical="center"/>
    </xf>
    <xf numFmtId="0" fontId="65" fillId="22" borderId="161" xfId="0" applyFont="1" applyFill="1" applyBorder="1" applyAlignment="1" applyProtection="1">
      <alignment horizontal="center" vertical="center"/>
      <protection locked="0"/>
    </xf>
    <xf numFmtId="10" fontId="66" fillId="9" borderId="162" xfId="1" applyNumberFormat="1" applyFont="1" applyFill="1" applyBorder="1" applyAlignment="1">
      <alignment horizontal="center" vertical="center"/>
    </xf>
    <xf numFmtId="0" fontId="56" fillId="0" borderId="164" xfId="0" applyFont="1" applyBorder="1"/>
    <xf numFmtId="165" fontId="66" fillId="9" borderId="168" xfId="0" applyNumberFormat="1" applyFont="1" applyFill="1" applyBorder="1" applyAlignment="1">
      <alignment horizontal="center" vertical="center"/>
    </xf>
    <xf numFmtId="0" fontId="66" fillId="9" borderId="165" xfId="0" applyFont="1" applyFill="1" applyBorder="1" applyAlignment="1">
      <alignment horizontal="center" vertical="center"/>
    </xf>
    <xf numFmtId="165" fontId="65" fillId="21" borderId="178" xfId="0" applyNumberFormat="1" applyFont="1" applyFill="1" applyBorder="1" applyAlignment="1">
      <alignment horizontal="center" vertical="center"/>
    </xf>
    <xf numFmtId="0" fontId="65" fillId="22" borderId="163" xfId="0" applyFont="1" applyFill="1" applyBorder="1" applyAlignment="1" applyProtection="1">
      <alignment horizontal="center" vertical="center"/>
      <protection locked="0"/>
    </xf>
    <xf numFmtId="10" fontId="66" fillId="9" borderId="166" xfId="1" applyNumberFormat="1" applyFont="1" applyFill="1" applyBorder="1" applyAlignment="1">
      <alignment horizontal="center" vertical="center"/>
    </xf>
    <xf numFmtId="165" fontId="66" fillId="9" borderId="169" xfId="0" applyNumberFormat="1" applyFont="1" applyFill="1" applyBorder="1" applyAlignment="1">
      <alignment horizontal="center" vertical="center"/>
    </xf>
    <xf numFmtId="0" fontId="66" fillId="9" borderId="167" xfId="0" applyFont="1" applyFill="1" applyBorder="1" applyAlignment="1">
      <alignment horizontal="center" vertical="center"/>
    </xf>
    <xf numFmtId="0" fontId="22" fillId="21" borderId="76" xfId="0" applyFont="1" applyFill="1" applyBorder="1" applyAlignment="1">
      <alignment horizontal="center" vertical="center"/>
    </xf>
    <xf numFmtId="0" fontId="22" fillId="21" borderId="72" xfId="0" applyFont="1" applyFill="1" applyBorder="1" applyAlignment="1">
      <alignment horizontal="center" vertical="center" wrapText="1"/>
    </xf>
    <xf numFmtId="0" fontId="50" fillId="9" borderId="55" xfId="0" applyFont="1" applyFill="1" applyBorder="1" applyAlignment="1">
      <alignment horizontal="center" vertical="center"/>
    </xf>
    <xf numFmtId="0" fontId="41" fillId="46" borderId="76" xfId="0" applyFont="1" applyFill="1" applyBorder="1" applyAlignment="1">
      <alignment horizontal="center" vertical="center"/>
    </xf>
    <xf numFmtId="10" fontId="44" fillId="12" borderId="51" xfId="0" applyNumberFormat="1" applyFont="1" applyFill="1" applyBorder="1"/>
    <xf numFmtId="0" fontId="41" fillId="46" borderId="122" xfId="0" applyFont="1" applyFill="1" applyBorder="1" applyAlignment="1">
      <alignment horizontal="center" vertical="center"/>
    </xf>
    <xf numFmtId="0" fontId="41" fillId="46" borderId="112" xfId="0" applyFont="1" applyFill="1" applyBorder="1" applyAlignment="1">
      <alignment horizontal="center" vertical="center"/>
    </xf>
    <xf numFmtId="3" fontId="44" fillId="17" borderId="91" xfId="0" applyNumberFormat="1" applyFont="1" applyFill="1" applyBorder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/>
    <xf numFmtId="0" fontId="49" fillId="23" borderId="69" xfId="2" applyFont="1" applyFill="1" applyBorder="1" applyAlignment="1">
      <alignment horizontal="center" vertical="center" wrapText="1"/>
    </xf>
    <xf numFmtId="0" fontId="49" fillId="23" borderId="108" xfId="2" applyFont="1" applyFill="1" applyBorder="1" applyAlignment="1">
      <alignment horizontal="center" vertical="center" wrapText="1"/>
    </xf>
    <xf numFmtId="0" fontId="49" fillId="23" borderId="122" xfId="2" applyFont="1" applyFill="1" applyBorder="1" applyAlignment="1">
      <alignment horizontal="center" vertical="center" wrapText="1"/>
    </xf>
    <xf numFmtId="0" fontId="49" fillId="23" borderId="112" xfId="2" applyFont="1" applyFill="1" applyBorder="1" applyAlignment="1">
      <alignment horizontal="center" vertical="center" wrapText="1"/>
    </xf>
    <xf numFmtId="0" fontId="67" fillId="14" borderId="70" xfId="2" applyFont="1" applyFill="1" applyBorder="1" applyAlignment="1" applyProtection="1">
      <alignment horizontal="center" vertical="center"/>
      <protection locked="0"/>
    </xf>
    <xf numFmtId="0" fontId="67" fillId="14" borderId="56" xfId="2" applyFont="1" applyFill="1" applyBorder="1" applyAlignment="1" applyProtection="1">
      <alignment horizontal="center" vertical="center"/>
      <protection locked="0"/>
    </xf>
    <xf numFmtId="0" fontId="67" fillId="14" borderId="46" xfId="2" applyFont="1" applyFill="1" applyBorder="1" applyAlignment="1" applyProtection="1">
      <alignment horizontal="center" vertical="center"/>
      <protection locked="0"/>
    </xf>
    <xf numFmtId="0" fontId="67" fillId="14" borderId="47" xfId="2" applyFont="1" applyFill="1" applyBorder="1" applyAlignment="1" applyProtection="1">
      <alignment horizontal="center" vertical="center"/>
      <protection locked="0"/>
    </xf>
    <xf numFmtId="0" fontId="68" fillId="61" borderId="80" xfId="2" applyFont="1" applyFill="1" applyBorder="1" applyAlignment="1" applyProtection="1">
      <alignment horizontal="center" vertical="center"/>
      <protection locked="0"/>
    </xf>
    <xf numFmtId="0" fontId="68" fillId="61" borderId="201" xfId="2" applyFont="1" applyFill="1" applyBorder="1" applyAlignment="1" applyProtection="1">
      <alignment horizontal="center" vertical="center"/>
      <protection locked="0"/>
    </xf>
    <xf numFmtId="0" fontId="68" fillId="61" borderId="54" xfId="2" applyFont="1" applyFill="1" applyBorder="1" applyAlignment="1" applyProtection="1">
      <alignment horizontal="center" vertical="center"/>
      <protection locked="0"/>
    </xf>
    <xf numFmtId="0" fontId="68" fillId="61" borderId="50" xfId="2" applyFont="1" applyFill="1" applyBorder="1" applyAlignment="1" applyProtection="1">
      <alignment horizontal="center" vertical="center"/>
      <protection locked="0"/>
    </xf>
    <xf numFmtId="0" fontId="68" fillId="61" borderId="61" xfId="2" applyFont="1" applyFill="1" applyBorder="1" applyAlignment="1" applyProtection="1">
      <alignment horizontal="center" vertical="center"/>
      <protection locked="0"/>
    </xf>
    <xf numFmtId="0" fontId="68" fillId="61" borderId="51" xfId="2" applyFont="1" applyFill="1" applyBorder="1" applyAlignment="1" applyProtection="1">
      <alignment horizontal="center" vertical="center"/>
      <protection locked="0"/>
    </xf>
    <xf numFmtId="0" fontId="69" fillId="52" borderId="221" xfId="0" applyFont="1" applyFill="1" applyBorder="1" applyAlignment="1">
      <alignment horizontal="center" vertical="center" wrapText="1"/>
    </xf>
    <xf numFmtId="0" fontId="57" fillId="9" borderId="55" xfId="2" applyFont="1" applyFill="1" applyBorder="1" applyAlignment="1">
      <alignment horizontal="center" vertical="center"/>
    </xf>
    <xf numFmtId="0" fontId="57" fillId="9" borderId="35" xfId="2" applyFont="1" applyFill="1" applyBorder="1" applyAlignment="1">
      <alignment horizontal="center" vertical="center"/>
    </xf>
    <xf numFmtId="0" fontId="52" fillId="19" borderId="170" xfId="2" applyFont="1" applyFill="1" applyBorder="1" applyAlignment="1">
      <alignment horizontal="center" vertical="center"/>
    </xf>
    <xf numFmtId="0" fontId="52" fillId="19" borderId="192" xfId="2" applyFont="1" applyFill="1" applyBorder="1" applyAlignment="1">
      <alignment horizontal="center" vertical="center" wrapText="1"/>
    </xf>
    <xf numFmtId="0" fontId="52" fillId="2" borderId="170" xfId="2" applyFont="1" applyFill="1" applyBorder="1" applyAlignment="1">
      <alignment horizontal="center" vertical="center"/>
    </xf>
    <xf numFmtId="0" fontId="52" fillId="2" borderId="192" xfId="2" applyFont="1" applyFill="1" applyBorder="1" applyAlignment="1">
      <alignment horizontal="center" vertical="center" wrapText="1"/>
    </xf>
    <xf numFmtId="0" fontId="42" fillId="62" borderId="63" xfId="2" applyFont="1" applyFill="1" applyBorder="1" applyAlignment="1" applyProtection="1">
      <alignment horizontal="center" vertical="center"/>
      <protection locked="0"/>
    </xf>
    <xf numFmtId="0" fontId="49" fillId="14" borderId="227" xfId="2" applyFont="1" applyFill="1" applyBorder="1" applyAlignment="1" applyProtection="1">
      <alignment horizontal="center" vertical="center"/>
      <protection locked="0"/>
    </xf>
    <xf numFmtId="0" fontId="49" fillId="14" borderId="200" xfId="2" applyFont="1" applyFill="1" applyBorder="1" applyAlignment="1" applyProtection="1">
      <alignment horizontal="center" vertical="center"/>
      <protection locked="0"/>
    </xf>
    <xf numFmtId="0" fontId="49" fillId="14" borderId="228" xfId="2" applyFont="1" applyFill="1" applyBorder="1" applyAlignment="1" applyProtection="1">
      <alignment horizontal="center" vertical="center"/>
      <protection locked="0"/>
    </xf>
    <xf numFmtId="0" fontId="53" fillId="0" borderId="0" xfId="2" applyFont="1" applyAlignment="1">
      <alignment horizontal="center" vertical="center"/>
    </xf>
    <xf numFmtId="0" fontId="70" fillId="0" borderId="0" xfId="0" applyFont="1"/>
    <xf numFmtId="164" fontId="71" fillId="0" borderId="0" xfId="0" applyNumberFormat="1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center" vertical="center"/>
      <protection locked="0"/>
    </xf>
    <xf numFmtId="0" fontId="73" fillId="0" borderId="0" xfId="0" applyFont="1" applyAlignment="1">
      <alignment horizontal="center"/>
    </xf>
    <xf numFmtId="3" fontId="77" fillId="56" borderId="43" xfId="0" applyNumberFormat="1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10" fontId="77" fillId="0" borderId="0" xfId="1" applyNumberFormat="1" applyFont="1" applyFill="1" applyBorder="1" applyAlignment="1">
      <alignment horizontal="center" vertical="center"/>
    </xf>
    <xf numFmtId="9" fontId="74" fillId="0" borderId="0" xfId="1" applyFont="1" applyFill="1" applyBorder="1"/>
    <xf numFmtId="167" fontId="76" fillId="0" borderId="0" xfId="0" applyNumberFormat="1" applyFont="1" applyAlignment="1">
      <alignment horizontal="center" vertical="center"/>
    </xf>
    <xf numFmtId="0" fontId="72" fillId="0" borderId="0" xfId="0" applyFont="1"/>
    <xf numFmtId="10" fontId="70" fillId="0" borderId="0" xfId="0" applyNumberFormat="1" applyFont="1"/>
    <xf numFmtId="0" fontId="22" fillId="63" borderId="139" xfId="0" applyFont="1" applyFill="1" applyBorder="1" applyAlignment="1" applyProtection="1">
      <alignment horizontal="center" vertical="center" wrapText="1"/>
      <protection locked="0"/>
    </xf>
    <xf numFmtId="0" fontId="22" fillId="63" borderId="139" xfId="0" applyFont="1" applyFill="1" applyBorder="1" applyAlignment="1">
      <alignment horizontal="center" vertical="center" wrapText="1"/>
    </xf>
    <xf numFmtId="3" fontId="72" fillId="16" borderId="228" xfId="0" applyNumberFormat="1" applyFont="1" applyFill="1" applyBorder="1" applyAlignment="1">
      <alignment horizontal="center" vertical="center"/>
    </xf>
    <xf numFmtId="0" fontId="49" fillId="14" borderId="58" xfId="2" applyFont="1" applyFill="1" applyBorder="1" applyAlignment="1" applyProtection="1">
      <alignment horizontal="center" vertical="center"/>
      <protection locked="0"/>
    </xf>
    <xf numFmtId="0" fontId="49" fillId="14" borderId="194" xfId="2" applyFont="1" applyFill="1" applyBorder="1" applyAlignment="1" applyProtection="1">
      <alignment horizontal="center" vertical="center"/>
      <protection locked="0"/>
    </xf>
    <xf numFmtId="0" fontId="49" fillId="14" borderId="229" xfId="2" applyFont="1" applyFill="1" applyBorder="1" applyAlignment="1" applyProtection="1">
      <alignment horizontal="center" vertical="center"/>
      <protection locked="0"/>
    </xf>
    <xf numFmtId="0" fontId="19" fillId="0" borderId="78" xfId="2" applyBorder="1"/>
    <xf numFmtId="0" fontId="79" fillId="60" borderId="192" xfId="2" applyFont="1" applyFill="1" applyBorder="1" applyAlignment="1">
      <alignment horizontal="center" vertical="center"/>
    </xf>
    <xf numFmtId="0" fontId="79" fillId="60" borderId="237" xfId="2" applyFont="1" applyFill="1" applyBorder="1" applyAlignment="1">
      <alignment horizontal="center" vertical="center"/>
    </xf>
    <xf numFmtId="0" fontId="79" fillId="59" borderId="192" xfId="2" applyFont="1" applyFill="1" applyBorder="1" applyAlignment="1">
      <alignment horizontal="center" vertical="center"/>
    </xf>
    <xf numFmtId="0" fontId="79" fillId="59" borderId="237" xfId="2" applyFont="1" applyFill="1" applyBorder="1" applyAlignment="1">
      <alignment horizontal="center" vertical="center"/>
    </xf>
    <xf numFmtId="0" fontId="82" fillId="62" borderId="35" xfId="2" applyFont="1" applyFill="1" applyBorder="1" applyAlignment="1" applyProtection="1">
      <alignment horizontal="center" vertical="center"/>
      <protection locked="0"/>
    </xf>
    <xf numFmtId="0" fontId="82" fillId="61" borderId="193" xfId="2" applyFont="1" applyFill="1" applyBorder="1" applyAlignment="1" applyProtection="1">
      <alignment horizontal="center" vertical="center"/>
      <protection locked="0"/>
    </xf>
    <xf numFmtId="0" fontId="82" fillId="61" borderId="122" xfId="2" applyFont="1" applyFill="1" applyBorder="1" applyAlignment="1" applyProtection="1">
      <alignment horizontal="center" vertical="center"/>
      <protection locked="0"/>
    </xf>
    <xf numFmtId="0" fontId="82" fillId="61" borderId="112" xfId="2" applyFont="1" applyFill="1" applyBorder="1" applyAlignment="1" applyProtection="1">
      <alignment horizontal="center" vertical="center"/>
      <protection locked="0"/>
    </xf>
    <xf numFmtId="0" fontId="82" fillId="14" borderId="70" xfId="2" applyFont="1" applyFill="1" applyBorder="1" applyAlignment="1" applyProtection="1">
      <alignment horizontal="center" vertical="center"/>
      <protection locked="0"/>
    </xf>
    <xf numFmtId="0" fontId="82" fillId="14" borderId="56" xfId="2" applyFont="1" applyFill="1" applyBorder="1" applyAlignment="1" applyProtection="1">
      <alignment horizontal="center" vertical="center"/>
      <protection locked="0"/>
    </xf>
    <xf numFmtId="0" fontId="82" fillId="14" borderId="46" xfId="2" applyFont="1" applyFill="1" applyBorder="1" applyAlignment="1" applyProtection="1">
      <alignment horizontal="center" vertical="center"/>
      <protection locked="0"/>
    </xf>
    <xf numFmtId="0" fontId="82" fillId="14" borderId="47" xfId="2" applyFont="1" applyFill="1" applyBorder="1" applyAlignment="1" applyProtection="1">
      <alignment horizontal="center" vertical="center"/>
      <protection locked="0"/>
    </xf>
    <xf numFmtId="0" fontId="82" fillId="61" borderId="50" xfId="2" applyFont="1" applyFill="1" applyBorder="1" applyAlignment="1" applyProtection="1">
      <alignment horizontal="center" vertical="center"/>
      <protection locked="0"/>
    </xf>
    <xf numFmtId="0" fontId="82" fillId="61" borderId="61" xfId="2" applyFont="1" applyFill="1" applyBorder="1" applyAlignment="1" applyProtection="1">
      <alignment horizontal="center" vertical="center"/>
      <protection locked="0"/>
    </xf>
    <xf numFmtId="0" fontId="82" fillId="61" borderId="51" xfId="2" applyFont="1" applyFill="1" applyBorder="1" applyAlignment="1" applyProtection="1">
      <alignment horizontal="center" vertical="center"/>
      <protection locked="0"/>
    </xf>
    <xf numFmtId="0" fontId="82" fillId="62" borderId="36" xfId="2" applyFont="1" applyFill="1" applyBorder="1" applyAlignment="1" applyProtection="1">
      <alignment horizontal="center" vertical="center"/>
      <protection locked="0"/>
    </xf>
    <xf numFmtId="0" fontId="82" fillId="14" borderId="60" xfId="2" applyFont="1" applyFill="1" applyBorder="1" applyAlignment="1" applyProtection="1">
      <alignment horizontal="center" vertical="center"/>
      <protection locked="0"/>
    </xf>
    <xf numFmtId="0" fontId="82" fillId="14" borderId="58" xfId="2" applyFont="1" applyFill="1" applyBorder="1" applyAlignment="1" applyProtection="1">
      <alignment horizontal="center" vertical="center"/>
      <protection locked="0"/>
    </xf>
    <xf numFmtId="0" fontId="82" fillId="62" borderId="38" xfId="2" applyFont="1" applyFill="1" applyBorder="1" applyAlignment="1" applyProtection="1">
      <alignment horizontal="center" vertical="center"/>
      <protection locked="0"/>
    </xf>
    <xf numFmtId="0" fontId="82" fillId="14" borderId="61" xfId="2" applyFont="1" applyFill="1" applyBorder="1" applyAlignment="1" applyProtection="1">
      <alignment horizontal="center" vertical="center"/>
      <protection locked="0"/>
    </xf>
    <xf numFmtId="0" fontId="82" fillId="14" borderId="57" xfId="2" applyFont="1" applyFill="1" applyBorder="1" applyAlignment="1" applyProtection="1">
      <alignment horizontal="center" vertical="center"/>
      <protection locked="0"/>
    </xf>
    <xf numFmtId="0" fontId="82" fillId="14" borderId="50" xfId="2" applyFont="1" applyFill="1" applyBorder="1" applyAlignment="1" applyProtection="1">
      <alignment horizontal="center" vertical="center"/>
      <protection locked="0"/>
    </xf>
    <xf numFmtId="0" fontId="82" fillId="14" borderId="59" xfId="2" applyFont="1" applyFill="1" applyBorder="1" applyAlignment="1" applyProtection="1">
      <alignment horizontal="center" vertical="center"/>
      <protection locked="0"/>
    </xf>
    <xf numFmtId="0" fontId="22" fillId="64" borderId="139" xfId="0" applyFont="1" applyFill="1" applyBorder="1" applyAlignment="1" applyProtection="1">
      <alignment horizontal="center" vertical="center" wrapText="1"/>
      <protection locked="0"/>
    </xf>
    <xf numFmtId="0" fontId="22" fillId="64" borderId="139" xfId="0" applyFont="1" applyFill="1" applyBorder="1" applyAlignment="1">
      <alignment horizontal="center" vertical="center" wrapText="1"/>
    </xf>
    <xf numFmtId="0" fontId="69" fillId="49" borderId="95" xfId="0" applyFont="1" applyFill="1" applyBorder="1" applyAlignment="1">
      <alignment horizontal="center" vertical="center" wrapText="1"/>
    </xf>
    <xf numFmtId="0" fontId="78" fillId="0" borderId="0" xfId="0" applyFont="1" applyAlignment="1">
      <alignment vertical="center"/>
    </xf>
    <xf numFmtId="10" fontId="78" fillId="0" borderId="0" xfId="0" applyNumberFormat="1" applyFont="1" applyAlignment="1">
      <alignment vertical="center"/>
    </xf>
    <xf numFmtId="0" fontId="76" fillId="0" borderId="0" xfId="0" applyFont="1" applyAlignment="1">
      <alignment horizontal="center" vertical="center"/>
    </xf>
    <xf numFmtId="0" fontId="72" fillId="0" borderId="0" xfId="0" applyFont="1" applyAlignment="1">
      <alignment horizontal="center"/>
    </xf>
    <xf numFmtId="0" fontId="6" fillId="46" borderId="245" xfId="0" applyFont="1" applyFill="1" applyBorder="1" applyAlignment="1">
      <alignment vertical="center"/>
    </xf>
    <xf numFmtId="0" fontId="26" fillId="15" borderId="29" xfId="0" applyFont="1" applyFill="1" applyBorder="1" applyAlignment="1" applyProtection="1">
      <alignment horizontal="center" vertical="center"/>
      <protection locked="0"/>
    </xf>
    <xf numFmtId="0" fontId="6" fillId="46" borderId="177" xfId="0" applyFont="1" applyFill="1" applyBorder="1" applyAlignment="1">
      <alignment vertical="center"/>
    </xf>
    <xf numFmtId="0" fontId="6" fillId="46" borderId="247" xfId="0" applyFont="1" applyFill="1" applyBorder="1" applyAlignment="1">
      <alignment vertical="center"/>
    </xf>
    <xf numFmtId="0" fontId="9" fillId="46" borderId="247" xfId="0" applyFont="1" applyFill="1" applyBorder="1" applyAlignment="1">
      <alignment vertical="center"/>
    </xf>
    <xf numFmtId="0" fontId="9" fillId="46" borderId="177" xfId="0" applyFont="1" applyFill="1" applyBorder="1" applyAlignment="1">
      <alignment vertical="center"/>
    </xf>
    <xf numFmtId="164" fontId="9" fillId="19" borderId="103" xfId="0" applyNumberFormat="1" applyFont="1" applyFill="1" applyBorder="1" applyAlignment="1">
      <alignment horizontal="center" vertical="center"/>
    </xf>
    <xf numFmtId="0" fontId="9" fillId="19" borderId="104" xfId="0" applyFont="1" applyFill="1" applyBorder="1" applyAlignment="1">
      <alignment horizontal="center" vertical="center"/>
    </xf>
    <xf numFmtId="0" fontId="9" fillId="19" borderId="248" xfId="0" applyFont="1" applyFill="1" applyBorder="1" applyAlignment="1">
      <alignment horizontal="center" vertical="center"/>
    </xf>
    <xf numFmtId="0" fontId="9" fillId="19" borderId="246" xfId="0" applyFont="1" applyFill="1" applyBorder="1" applyAlignment="1">
      <alignment horizontal="center" vertical="center"/>
    </xf>
    <xf numFmtId="167" fontId="84" fillId="0" borderId="0" xfId="0" applyNumberFormat="1" applyFont="1" applyAlignment="1">
      <alignment vertical="center"/>
    </xf>
    <xf numFmtId="0" fontId="22" fillId="53" borderId="122" xfId="0" applyFont="1" applyFill="1" applyBorder="1" applyAlignment="1">
      <alignment horizontal="center" vertical="center"/>
    </xf>
    <xf numFmtId="0" fontId="22" fillId="53" borderId="112" xfId="0" applyFont="1" applyFill="1" applyBorder="1" applyAlignment="1">
      <alignment horizontal="center" vertical="center"/>
    </xf>
    <xf numFmtId="0" fontId="7" fillId="2" borderId="219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1" fontId="70" fillId="0" borderId="0" xfId="0" applyNumberFormat="1" applyFont="1"/>
    <xf numFmtId="0" fontId="19" fillId="49" borderId="179" xfId="0" applyFont="1" applyFill="1" applyBorder="1" applyAlignment="1">
      <alignment horizontal="center" vertical="center" wrapText="1"/>
    </xf>
    <xf numFmtId="0" fontId="0" fillId="49" borderId="46" xfId="0" applyFill="1" applyBorder="1" applyAlignment="1">
      <alignment horizontal="center" vertical="center" wrapText="1"/>
    </xf>
    <xf numFmtId="0" fontId="19" fillId="52" borderId="38" xfId="0" applyFont="1" applyFill="1" applyBorder="1" applyAlignment="1">
      <alignment horizontal="center" vertical="center" wrapText="1"/>
    </xf>
    <xf numFmtId="0" fontId="19" fillId="9" borderId="35" xfId="0" applyFont="1" applyFill="1" applyBorder="1" applyAlignment="1">
      <alignment horizontal="center" vertical="center" wrapText="1"/>
    </xf>
    <xf numFmtId="0" fontId="19" fillId="9" borderId="139" xfId="0" applyFont="1" applyFill="1" applyBorder="1" applyAlignment="1">
      <alignment horizontal="center" vertical="center" wrapText="1"/>
    </xf>
    <xf numFmtId="0" fontId="19" fillId="9" borderId="251" xfId="0" applyFont="1" applyFill="1" applyBorder="1" applyAlignment="1">
      <alignment horizontal="center" vertical="center" wrapText="1"/>
    </xf>
    <xf numFmtId="0" fontId="19" fillId="9" borderId="69" xfId="0" applyFont="1" applyFill="1" applyBorder="1" applyAlignment="1">
      <alignment horizontal="center" vertical="center" wrapText="1"/>
    </xf>
    <xf numFmtId="0" fontId="19" fillId="9" borderId="108" xfId="0" applyFont="1" applyFill="1" applyBorder="1" applyAlignment="1">
      <alignment horizontal="center" vertical="center" wrapText="1"/>
    </xf>
    <xf numFmtId="0" fontId="19" fillId="9" borderId="110" xfId="0" applyFont="1" applyFill="1" applyBorder="1" applyAlignment="1">
      <alignment horizontal="center" vertical="center" wrapText="1"/>
    </xf>
    <xf numFmtId="0" fontId="0" fillId="9" borderId="69" xfId="0" applyFill="1" applyBorder="1" applyAlignment="1">
      <alignment horizontal="center" vertical="center"/>
    </xf>
    <xf numFmtId="0" fontId="19" fillId="9" borderId="139" xfId="0" applyFont="1" applyFill="1" applyBorder="1" applyAlignment="1">
      <alignment horizontal="center" vertical="center"/>
    </xf>
    <xf numFmtId="0" fontId="19" fillId="9" borderId="107" xfId="0" applyFont="1" applyFill="1" applyBorder="1" applyAlignment="1">
      <alignment horizontal="center" vertical="center"/>
    </xf>
    <xf numFmtId="0" fontId="19" fillId="9" borderId="108" xfId="0" applyFont="1" applyFill="1" applyBorder="1" applyAlignment="1">
      <alignment horizontal="center" vertical="center"/>
    </xf>
    <xf numFmtId="0" fontId="19" fillId="9" borderId="47" xfId="0" applyFont="1" applyFill="1" applyBorder="1" applyAlignment="1">
      <alignment horizontal="center" vertical="center"/>
    </xf>
    <xf numFmtId="0" fontId="19" fillId="9" borderId="51" xfId="0" applyFont="1" applyFill="1" applyBorder="1" applyAlignment="1">
      <alignment horizontal="center" vertical="center"/>
    </xf>
    <xf numFmtId="0" fontId="0" fillId="23" borderId="47" xfId="0" applyFill="1" applyBorder="1" applyAlignment="1">
      <alignment horizontal="center" vertical="center" wrapText="1"/>
    </xf>
    <xf numFmtId="2" fontId="0" fillId="23" borderId="60" xfId="0" applyNumberFormat="1" applyFill="1" applyBorder="1" applyAlignment="1">
      <alignment horizontal="center" vertical="center"/>
    </xf>
    <xf numFmtId="2" fontId="0" fillId="23" borderId="56" xfId="0" applyNumberFormat="1" applyFill="1" applyBorder="1" applyAlignment="1">
      <alignment horizontal="center" vertical="center"/>
    </xf>
    <xf numFmtId="2" fontId="0" fillId="23" borderId="47" xfId="0" applyNumberFormat="1" applyFill="1" applyBorder="1" applyAlignment="1">
      <alignment horizontal="center" vertical="center"/>
    </xf>
    <xf numFmtId="0" fontId="0" fillId="23" borderId="51" xfId="0" applyFill="1" applyBorder="1" applyAlignment="1">
      <alignment horizontal="center" vertical="center" wrapText="1"/>
    </xf>
    <xf numFmtId="2" fontId="0" fillId="23" borderId="61" xfId="0" applyNumberFormat="1" applyFill="1" applyBorder="1" applyAlignment="1">
      <alignment horizontal="center" vertical="center"/>
    </xf>
    <xf numFmtId="2" fontId="0" fillId="23" borderId="57" xfId="0" applyNumberFormat="1" applyFill="1" applyBorder="1" applyAlignment="1">
      <alignment horizontal="center" vertical="center"/>
    </xf>
    <xf numFmtId="2" fontId="0" fillId="23" borderId="51" xfId="0" applyNumberFormat="1" applyFill="1" applyBorder="1" applyAlignment="1">
      <alignment horizontal="center" vertical="center"/>
    </xf>
    <xf numFmtId="0" fontId="0" fillId="23" borderId="46" xfId="0" applyFill="1" applyBorder="1" applyAlignment="1">
      <alignment horizontal="center" vertical="center"/>
    </xf>
    <xf numFmtId="0" fontId="19" fillId="23" borderId="47" xfId="0" applyFont="1" applyFill="1" applyBorder="1" applyAlignment="1">
      <alignment horizontal="center" vertical="center"/>
    </xf>
    <xf numFmtId="0" fontId="0" fillId="23" borderId="50" xfId="0" applyFill="1" applyBorder="1" applyAlignment="1">
      <alignment horizontal="center" vertical="center"/>
    </xf>
    <xf numFmtId="0" fontId="0" fillId="23" borderId="51" xfId="0" applyFill="1" applyBorder="1" applyAlignment="1">
      <alignment horizontal="center" vertical="center"/>
    </xf>
    <xf numFmtId="0" fontId="0" fillId="23" borderId="101" xfId="0" applyFill="1" applyBorder="1" applyAlignment="1">
      <alignment horizontal="center" vertical="center" wrapText="1"/>
    </xf>
    <xf numFmtId="10" fontId="0" fillId="23" borderId="66" xfId="0" applyNumberFormat="1" applyFill="1" applyBorder="1" applyAlignment="1">
      <alignment horizontal="center" vertical="center" wrapText="1"/>
    </xf>
    <xf numFmtId="0" fontId="0" fillId="23" borderId="179" xfId="0" applyFill="1" applyBorder="1" applyAlignment="1">
      <alignment horizontal="center" vertical="center" wrapText="1"/>
    </xf>
    <xf numFmtId="0" fontId="0" fillId="23" borderId="61" xfId="0" applyFill="1" applyBorder="1" applyAlignment="1">
      <alignment horizontal="center" vertical="center" wrapText="1"/>
    </xf>
    <xf numFmtId="10" fontId="0" fillId="23" borderId="59" xfId="0" applyNumberFormat="1" applyFill="1" applyBorder="1" applyAlignment="1">
      <alignment horizontal="center" vertical="center" wrapText="1"/>
    </xf>
    <xf numFmtId="0" fontId="0" fillId="23" borderId="38" xfId="0" applyFill="1" applyBorder="1" applyAlignment="1">
      <alignment horizontal="center" vertical="center" wrapText="1"/>
    </xf>
    <xf numFmtId="0" fontId="0" fillId="23" borderId="50" xfId="0" applyFill="1" applyBorder="1" applyAlignment="1">
      <alignment horizontal="center" vertical="center" wrapText="1"/>
    </xf>
    <xf numFmtId="2" fontId="0" fillId="23" borderId="9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9" borderId="102" xfId="0" applyFill="1" applyBorder="1" applyAlignment="1">
      <alignment horizontal="center" vertical="center" wrapText="1"/>
    </xf>
    <xf numFmtId="0" fontId="0" fillId="23" borderId="36" xfId="0" applyFill="1" applyBorder="1" applyAlignment="1">
      <alignment horizontal="center" vertical="center"/>
    </xf>
    <xf numFmtId="0" fontId="0" fillId="23" borderId="37" xfId="0" applyFill="1" applyBorder="1" applyAlignment="1">
      <alignment horizontal="center" vertical="center"/>
    </xf>
    <xf numFmtId="0" fontId="0" fillId="23" borderId="38" xfId="0" applyFill="1" applyBorder="1" applyAlignment="1">
      <alignment horizontal="center" vertical="center"/>
    </xf>
    <xf numFmtId="0" fontId="91" fillId="9" borderId="256" xfId="0" applyFont="1" applyFill="1" applyBorder="1" applyAlignment="1">
      <alignment horizontal="center" vertical="center"/>
    </xf>
    <xf numFmtId="0" fontId="0" fillId="23" borderId="46" xfId="0" applyFill="1" applyBorder="1" applyAlignment="1">
      <alignment horizontal="center" vertical="center" wrapText="1"/>
    </xf>
    <xf numFmtId="0" fontId="91" fillId="65" borderId="254" xfId="0" applyFont="1" applyFill="1" applyBorder="1" applyAlignment="1">
      <alignment horizontal="center" vertical="center"/>
    </xf>
    <xf numFmtId="0" fontId="91" fillId="65" borderId="253" xfId="0" applyFont="1" applyFill="1" applyBorder="1" applyAlignment="1">
      <alignment horizontal="center" vertical="center"/>
    </xf>
    <xf numFmtId="0" fontId="91" fillId="65" borderId="252" xfId="0" applyFont="1" applyFill="1" applyBorder="1" applyAlignment="1">
      <alignment horizontal="center" vertical="center"/>
    </xf>
    <xf numFmtId="0" fontId="9" fillId="46" borderId="98" xfId="0" applyFont="1" applyFill="1" applyBorder="1" applyAlignment="1">
      <alignment horizontal="center" vertical="center"/>
    </xf>
    <xf numFmtId="0" fontId="9" fillId="46" borderId="99" xfId="0" applyFont="1" applyFill="1" applyBorder="1" applyAlignment="1">
      <alignment horizontal="center" vertical="center"/>
    </xf>
    <xf numFmtId="0" fontId="9" fillId="46" borderId="247" xfId="0" applyFont="1" applyFill="1" applyBorder="1" applyAlignment="1">
      <alignment horizontal="center" vertical="center"/>
    </xf>
    <xf numFmtId="0" fontId="9" fillId="46" borderId="177" xfId="0" applyFont="1" applyFill="1" applyBorder="1" applyAlignment="1">
      <alignment horizontal="center" vertical="center"/>
    </xf>
    <xf numFmtId="0" fontId="56" fillId="9" borderId="70" xfId="0" applyFont="1" applyFill="1" applyBorder="1" applyAlignment="1">
      <alignment horizontal="center" vertical="center"/>
    </xf>
    <xf numFmtId="0" fontId="56" fillId="9" borderId="36" xfId="0" applyFont="1" applyFill="1" applyBorder="1" applyAlignment="1">
      <alignment horizontal="center" vertical="center"/>
    </xf>
    <xf numFmtId="2" fontId="0" fillId="23" borderId="49" xfId="0" applyNumberFormat="1" applyFill="1" applyBorder="1" applyAlignment="1">
      <alignment horizontal="center" vertical="center"/>
    </xf>
    <xf numFmtId="0" fontId="0" fillId="23" borderId="179" xfId="0" applyFill="1" applyBorder="1" applyAlignment="1">
      <alignment horizontal="center" vertical="center"/>
    </xf>
    <xf numFmtId="0" fontId="19" fillId="9" borderId="112" xfId="0" applyFont="1" applyFill="1" applyBorder="1" applyAlignment="1">
      <alignment horizontal="center" vertical="center"/>
    </xf>
    <xf numFmtId="0" fontId="19" fillId="9" borderId="122" xfId="0" applyFont="1" applyFill="1" applyBorder="1" applyAlignment="1">
      <alignment horizontal="center" vertical="center" wrapText="1"/>
    </xf>
    <xf numFmtId="169" fontId="0" fillId="0" borderId="138" xfId="0" applyNumberFormat="1" applyBorder="1" applyAlignment="1">
      <alignment horizontal="center" vertical="center"/>
    </xf>
    <xf numFmtId="169" fontId="0" fillId="0" borderId="218" xfId="0" applyNumberFormat="1" applyBorder="1" applyAlignment="1">
      <alignment horizontal="center" vertical="center"/>
    </xf>
    <xf numFmtId="14" fontId="0" fillId="9" borderId="108" xfId="0" applyNumberFormat="1" applyFill="1" applyBorder="1" applyAlignment="1">
      <alignment horizontal="center" vertical="center"/>
    </xf>
    <xf numFmtId="0" fontId="54" fillId="14" borderId="53" xfId="0" applyFont="1" applyFill="1" applyBorder="1" applyAlignment="1" applyProtection="1">
      <alignment horizontal="center" vertical="center"/>
      <protection locked="0"/>
    </xf>
    <xf numFmtId="0" fontId="54" fillId="14" borderId="38" xfId="0" applyFont="1" applyFill="1" applyBorder="1" applyAlignment="1" applyProtection="1">
      <alignment horizontal="center" vertical="center"/>
      <protection locked="0"/>
    </xf>
    <xf numFmtId="14" fontId="0" fillId="14" borderId="48" xfId="0" applyNumberFormat="1" applyFill="1" applyBorder="1" applyAlignment="1" applyProtection="1">
      <alignment horizontal="center" vertical="center"/>
      <protection locked="0"/>
    </xf>
    <xf numFmtId="14" fontId="0" fillId="14" borderId="137" xfId="0" applyNumberFormat="1" applyFill="1" applyBorder="1" applyAlignment="1" applyProtection="1">
      <alignment horizontal="center" vertical="center"/>
      <protection locked="0"/>
    </xf>
    <xf numFmtId="14" fontId="0" fillId="14" borderId="65" xfId="0" applyNumberFormat="1" applyFill="1" applyBorder="1" applyAlignment="1" applyProtection="1">
      <alignment horizontal="center" vertical="center"/>
      <protection locked="0"/>
    </xf>
    <xf numFmtId="14" fontId="0" fillId="14" borderId="50" xfId="0" applyNumberFormat="1" applyFill="1" applyBorder="1" applyAlignment="1" applyProtection="1">
      <alignment horizontal="center" vertical="center"/>
      <protection locked="0"/>
    </xf>
    <xf numFmtId="14" fontId="0" fillId="14" borderId="64" xfId="0" applyNumberFormat="1" applyFill="1" applyBorder="1" applyAlignment="1" applyProtection="1">
      <alignment horizontal="center" vertical="center"/>
      <protection locked="0"/>
    </xf>
    <xf numFmtId="0" fontId="0" fillId="52" borderId="80" xfId="0" applyFill="1" applyBorder="1" applyAlignment="1">
      <alignment horizontal="center" vertical="center" wrapText="1"/>
    </xf>
    <xf numFmtId="0" fontId="0" fillId="23" borderId="54" xfId="0" applyFill="1" applyBorder="1" applyAlignment="1">
      <alignment horizontal="center" vertical="center" wrapText="1"/>
    </xf>
    <xf numFmtId="0" fontId="89" fillId="9" borderId="69" xfId="0" applyFont="1" applyFill="1" applyBorder="1" applyAlignment="1">
      <alignment horizontal="center" vertical="center"/>
    </xf>
    <xf numFmtId="0" fontId="89" fillId="23" borderId="108" xfId="0" applyFont="1" applyFill="1" applyBorder="1" applyAlignment="1">
      <alignment horizontal="center" vertical="center"/>
    </xf>
    <xf numFmtId="0" fontId="6" fillId="15" borderId="95" xfId="0" applyFont="1" applyFill="1" applyBorder="1" applyAlignment="1" applyProtection="1">
      <alignment horizontal="center"/>
      <protection locked="0"/>
    </xf>
    <xf numFmtId="3" fontId="6" fillId="45" borderId="149" xfId="0" applyNumberFormat="1" applyFont="1" applyFill="1" applyBorder="1" applyAlignment="1" applyProtection="1">
      <alignment horizontal="center" vertical="center"/>
      <protection locked="0"/>
    </xf>
    <xf numFmtId="0" fontId="6" fillId="15" borderId="19" xfId="0" applyFont="1" applyFill="1" applyBorder="1" applyAlignment="1" applyProtection="1">
      <alignment horizontal="center"/>
      <protection locked="0"/>
    </xf>
    <xf numFmtId="3" fontId="6" fillId="45" borderId="150" xfId="0" applyNumberFormat="1" applyFont="1" applyFill="1" applyBorder="1" applyAlignment="1" applyProtection="1">
      <alignment horizontal="center" vertical="center"/>
      <protection locked="0"/>
    </xf>
    <xf numFmtId="0" fontId="6" fillId="15" borderId="151" xfId="0" applyFont="1" applyFill="1" applyBorder="1" applyAlignment="1" applyProtection="1">
      <alignment horizontal="center"/>
      <protection locked="0"/>
    </xf>
    <xf numFmtId="3" fontId="6" fillId="45" borderId="152" xfId="0" applyNumberFormat="1" applyFont="1" applyFill="1" applyBorder="1" applyAlignment="1" applyProtection="1">
      <alignment horizontal="center" vertical="center"/>
      <protection locked="0"/>
    </xf>
    <xf numFmtId="0" fontId="96" fillId="46" borderId="98" xfId="0" applyFont="1" applyFill="1" applyBorder="1" applyAlignment="1">
      <alignment horizontal="center" vertical="center"/>
    </xf>
    <xf numFmtId="164" fontId="96" fillId="19" borderId="103" xfId="0" applyNumberFormat="1" applyFont="1" applyFill="1" applyBorder="1" applyAlignment="1">
      <alignment horizontal="center" vertical="center"/>
    </xf>
    <xf numFmtId="0" fontId="96" fillId="46" borderId="99" xfId="0" applyFont="1" applyFill="1" applyBorder="1" applyAlignment="1">
      <alignment horizontal="center" vertical="center"/>
    </xf>
    <xf numFmtId="0" fontId="96" fillId="19" borderId="104" xfId="0" applyFont="1" applyFill="1" applyBorder="1" applyAlignment="1">
      <alignment horizontal="center" vertical="center"/>
    </xf>
    <xf numFmtId="0" fontId="96" fillId="46" borderId="247" xfId="0" applyFont="1" applyFill="1" applyBorder="1" applyAlignment="1">
      <alignment horizontal="center" vertical="center"/>
    </xf>
    <xf numFmtId="0" fontId="96" fillId="19" borderId="248" xfId="0" applyFont="1" applyFill="1" applyBorder="1" applyAlignment="1">
      <alignment horizontal="center" vertical="center"/>
    </xf>
    <xf numFmtId="0" fontId="96" fillId="46" borderId="177" xfId="0" applyFont="1" applyFill="1" applyBorder="1" applyAlignment="1">
      <alignment horizontal="center" vertical="center"/>
    </xf>
    <xf numFmtId="0" fontId="96" fillId="19" borderId="246" xfId="0" applyFont="1" applyFill="1" applyBorder="1" applyAlignment="1">
      <alignment horizontal="center" vertical="center"/>
    </xf>
    <xf numFmtId="10" fontId="0" fillId="14" borderId="34" xfId="0" applyNumberFormat="1" applyFill="1" applyBorder="1" applyAlignment="1" applyProtection="1">
      <alignment horizontal="center"/>
      <protection locked="0"/>
    </xf>
    <xf numFmtId="10" fontId="19" fillId="14" borderId="34" xfId="0" applyNumberFormat="1" applyFont="1" applyFill="1" applyBorder="1" applyAlignment="1" applyProtection="1">
      <alignment horizontal="center"/>
      <protection locked="0"/>
    </xf>
    <xf numFmtId="0" fontId="99" fillId="49" borderId="95" xfId="0" applyFont="1" applyFill="1" applyBorder="1" applyAlignment="1">
      <alignment horizontal="center" vertical="center" wrapText="1"/>
    </xf>
    <xf numFmtId="0" fontId="99" fillId="52" borderId="221" xfId="0" applyFont="1" applyFill="1" applyBorder="1" applyAlignment="1">
      <alignment horizontal="center" vertical="center" wrapText="1"/>
    </xf>
    <xf numFmtId="0" fontId="100" fillId="9" borderId="35" xfId="2" applyFont="1" applyFill="1" applyBorder="1" applyAlignment="1">
      <alignment horizontal="center" vertical="center" wrapText="1"/>
    </xf>
    <xf numFmtId="0" fontId="101" fillId="19" borderId="170" xfId="2" applyFont="1" applyFill="1" applyBorder="1" applyAlignment="1">
      <alignment horizontal="center" vertical="center"/>
    </xf>
    <xf numFmtId="0" fontId="102" fillId="2" borderId="170" xfId="2" applyFont="1" applyFill="1" applyBorder="1" applyAlignment="1">
      <alignment horizontal="center" vertical="center"/>
    </xf>
    <xf numFmtId="0" fontId="102" fillId="2" borderId="192" xfId="2" applyFont="1" applyFill="1" applyBorder="1" applyAlignment="1">
      <alignment horizontal="center" vertical="center" wrapText="1"/>
    </xf>
    <xf numFmtId="0" fontId="102" fillId="19" borderId="192" xfId="2" applyFont="1" applyFill="1" applyBorder="1" applyAlignment="1">
      <alignment horizontal="center" vertical="center" wrapText="1"/>
    </xf>
    <xf numFmtId="0" fontId="41" fillId="49" borderId="95" xfId="0" applyFont="1" applyFill="1" applyBorder="1" applyAlignment="1" applyProtection="1">
      <alignment horizontal="center" vertical="center" wrapText="1"/>
      <protection locked="0"/>
    </xf>
    <xf numFmtId="0" fontId="41" fillId="52" borderId="221" xfId="0" applyFont="1" applyFill="1" applyBorder="1" applyAlignment="1" applyProtection="1">
      <alignment horizontal="center" vertical="center" wrapText="1"/>
      <protection locked="0"/>
    </xf>
    <xf numFmtId="0" fontId="19" fillId="9" borderId="46" xfId="0" applyFont="1" applyFill="1" applyBorder="1" applyAlignment="1">
      <alignment horizontal="center" vertical="center"/>
    </xf>
    <xf numFmtId="0" fontId="103" fillId="23" borderId="69" xfId="2" applyFont="1" applyFill="1" applyBorder="1" applyAlignment="1">
      <alignment horizontal="center" vertical="center" wrapText="1"/>
    </xf>
    <xf numFmtId="0" fontId="103" fillId="23" borderId="108" xfId="2" applyFont="1" applyFill="1" applyBorder="1" applyAlignment="1">
      <alignment horizontal="center" vertical="center" wrapText="1"/>
    </xf>
    <xf numFmtId="0" fontId="104" fillId="60" borderId="192" xfId="2" applyFont="1" applyFill="1" applyBorder="1" applyAlignment="1">
      <alignment horizontal="center" vertical="center"/>
    </xf>
    <xf numFmtId="0" fontId="104" fillId="59" borderId="158" xfId="2" applyFont="1" applyFill="1" applyBorder="1" applyAlignment="1">
      <alignment horizontal="center" vertical="center"/>
    </xf>
    <xf numFmtId="0" fontId="104" fillId="60" borderId="237" xfId="2" applyFont="1" applyFill="1" applyBorder="1" applyAlignment="1">
      <alignment horizontal="center" vertical="center"/>
    </xf>
    <xf numFmtId="0" fontId="104" fillId="59" borderId="239" xfId="2" applyFont="1" applyFill="1" applyBorder="1" applyAlignment="1">
      <alignment horizontal="center" vertical="center"/>
    </xf>
    <xf numFmtId="0" fontId="104" fillId="60" borderId="171" xfId="2" applyFont="1" applyFill="1" applyBorder="1" applyAlignment="1">
      <alignment horizontal="center" vertical="center"/>
    </xf>
    <xf numFmtId="0" fontId="104" fillId="59" borderId="192" xfId="2" applyFont="1" applyFill="1" applyBorder="1" applyAlignment="1">
      <alignment horizontal="center" vertical="center"/>
    </xf>
    <xf numFmtId="0" fontId="104" fillId="59" borderId="238" xfId="2" applyFont="1" applyFill="1" applyBorder="1" applyAlignment="1">
      <alignment horizontal="center" vertical="center"/>
    </xf>
    <xf numFmtId="0" fontId="104" fillId="59" borderId="236" xfId="2" applyFont="1" applyFill="1" applyBorder="1" applyAlignment="1">
      <alignment horizontal="center" vertical="center"/>
    </xf>
    <xf numFmtId="0" fontId="104" fillId="59" borderId="175" xfId="2" applyFont="1" applyFill="1" applyBorder="1" applyAlignment="1">
      <alignment horizontal="center" vertical="center"/>
    </xf>
    <xf numFmtId="1" fontId="90" fillId="0" borderId="0" xfId="1" applyNumberFormat="1" applyFont="1" applyFill="1" applyBorder="1" applyAlignment="1">
      <alignment horizontal="center" vertical="center"/>
    </xf>
    <xf numFmtId="1" fontId="94" fillId="0" borderId="0" xfId="1" applyNumberFormat="1" applyFont="1" applyFill="1" applyBorder="1" applyAlignment="1">
      <alignment horizontal="center" vertical="center"/>
    </xf>
    <xf numFmtId="1" fontId="88" fillId="0" borderId="0" xfId="0" applyNumberFormat="1" applyFont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0" fontId="105" fillId="0" borderId="0" xfId="0" applyFont="1"/>
    <xf numFmtId="3" fontId="111" fillId="16" borderId="60" xfId="0" applyNumberFormat="1" applyFont="1" applyFill="1" applyBorder="1" applyAlignment="1">
      <alignment horizontal="center" vertical="center"/>
    </xf>
    <xf numFmtId="3" fontId="111" fillId="16" borderId="58" xfId="0" applyNumberFormat="1" applyFont="1" applyFill="1" applyBorder="1" applyAlignment="1">
      <alignment horizontal="center" vertical="center"/>
    </xf>
    <xf numFmtId="0" fontId="112" fillId="13" borderId="70" xfId="0" applyFont="1" applyFill="1" applyBorder="1" applyAlignment="1">
      <alignment horizontal="center" vertical="center"/>
    </xf>
    <xf numFmtId="0" fontId="112" fillId="13" borderId="47" xfId="0" applyFont="1" applyFill="1" applyBorder="1" applyAlignment="1">
      <alignment horizontal="center" vertical="center"/>
    </xf>
    <xf numFmtId="0" fontId="113" fillId="10" borderId="243" xfId="0" applyFont="1" applyFill="1" applyBorder="1" applyAlignment="1">
      <alignment horizontal="center" vertical="center"/>
    </xf>
    <xf numFmtId="0" fontId="113" fillId="10" borderId="188" xfId="0" applyFont="1" applyFill="1" applyBorder="1" applyAlignment="1">
      <alignment horizontal="center" vertical="center"/>
    </xf>
    <xf numFmtId="0" fontId="113" fillId="10" borderId="240" xfId="0" applyFont="1" applyFill="1" applyBorder="1" applyAlignment="1">
      <alignment horizontal="center" vertical="center"/>
    </xf>
    <xf numFmtId="10" fontId="111" fillId="16" borderId="229" xfId="1" applyNumberFormat="1" applyFont="1" applyFill="1" applyBorder="1" applyAlignment="1">
      <alignment horizontal="center" vertical="center"/>
    </xf>
    <xf numFmtId="10" fontId="112" fillId="13" borderId="228" xfId="1" applyNumberFormat="1" applyFont="1" applyFill="1" applyBorder="1" applyAlignment="1">
      <alignment horizontal="center" vertical="center"/>
    </xf>
    <xf numFmtId="10" fontId="112" fillId="13" borderId="205" xfId="1" applyNumberFormat="1" applyFont="1" applyFill="1" applyBorder="1" applyAlignment="1">
      <alignment horizontal="center" vertical="center"/>
    </xf>
    <xf numFmtId="10" fontId="113" fillId="10" borderId="244" xfId="1" applyNumberFormat="1" applyFont="1" applyFill="1" applyBorder="1" applyAlignment="1">
      <alignment horizontal="center" vertical="center"/>
    </xf>
    <xf numFmtId="10" fontId="113" fillId="10" borderId="81" xfId="1" applyNumberFormat="1" applyFont="1" applyFill="1" applyBorder="1" applyAlignment="1">
      <alignment horizontal="center" vertical="center"/>
    </xf>
    <xf numFmtId="9" fontId="114" fillId="60" borderId="187" xfId="1" applyFont="1" applyFill="1" applyBorder="1" applyAlignment="1">
      <alignment horizontal="center" vertical="center"/>
    </xf>
    <xf numFmtId="0" fontId="115" fillId="64" borderId="102" xfId="0" applyFont="1" applyFill="1" applyBorder="1" applyAlignment="1">
      <alignment horizontal="center" vertical="center" wrapText="1"/>
    </xf>
    <xf numFmtId="0" fontId="115" fillId="63" borderId="108" xfId="0" applyFont="1" applyFill="1" applyBorder="1" applyAlignment="1">
      <alignment horizontal="center" vertical="center" wrapText="1"/>
    </xf>
    <xf numFmtId="0" fontId="85" fillId="26" borderId="102" xfId="0" applyFont="1" applyFill="1" applyBorder="1" applyAlignment="1">
      <alignment horizontal="center" vertical="center"/>
    </xf>
    <xf numFmtId="0" fontId="85" fillId="26" borderId="110" xfId="0" applyFont="1" applyFill="1" applyBorder="1" applyAlignment="1">
      <alignment horizontal="center" vertical="center"/>
    </xf>
    <xf numFmtId="0" fontId="106" fillId="46" borderId="182" xfId="0" applyFont="1" applyFill="1" applyBorder="1" applyAlignment="1">
      <alignment horizontal="center" vertical="center"/>
    </xf>
    <xf numFmtId="0" fontId="106" fillId="46" borderId="241" xfId="0" applyFont="1" applyFill="1" applyBorder="1" applyAlignment="1">
      <alignment horizontal="center" vertical="center"/>
    </xf>
    <xf numFmtId="0" fontId="106" fillId="46" borderId="249" xfId="0" applyFont="1" applyFill="1" applyBorder="1" applyAlignment="1">
      <alignment horizontal="center" vertical="center"/>
    </xf>
    <xf numFmtId="0" fontId="106" fillId="46" borderId="67" xfId="0" applyFont="1" applyFill="1" applyBorder="1" applyAlignment="1">
      <alignment horizontal="center" vertical="center"/>
    </xf>
    <xf numFmtId="20" fontId="93" fillId="0" borderId="0" xfId="0" applyNumberFormat="1" applyFont="1" applyAlignment="1">
      <alignment vertical="center"/>
    </xf>
    <xf numFmtId="0" fontId="92" fillId="0" borderId="0" xfId="0" applyFont="1"/>
    <xf numFmtId="0" fontId="110" fillId="0" borderId="0" xfId="0" applyFont="1" applyAlignment="1">
      <alignment vertical="center"/>
    </xf>
    <xf numFmtId="0" fontId="77" fillId="0" borderId="0" xfId="0" applyFont="1" applyAlignment="1">
      <alignment vertical="center" wrapText="1"/>
    </xf>
    <xf numFmtId="10" fontId="85" fillId="0" borderId="0" xfId="0" applyNumberFormat="1" applyFont="1" applyAlignment="1">
      <alignment vertical="center"/>
    </xf>
    <xf numFmtId="0" fontId="19" fillId="9" borderId="257" xfId="0" applyFont="1" applyFill="1" applyBorder="1" applyAlignment="1">
      <alignment horizontal="center" vertical="center" wrapText="1"/>
    </xf>
    <xf numFmtId="0" fontId="19" fillId="9" borderId="258" xfId="0" applyFont="1" applyFill="1" applyBorder="1" applyAlignment="1">
      <alignment horizontal="center" vertical="center" wrapText="1"/>
    </xf>
    <xf numFmtId="0" fontId="19" fillId="9" borderId="259" xfId="0" applyFont="1" applyFill="1" applyBorder="1" applyAlignment="1">
      <alignment horizontal="center" vertical="center" wrapText="1"/>
    </xf>
    <xf numFmtId="0" fontId="19" fillId="49" borderId="261" xfId="0" applyFont="1" applyFill="1" applyBorder="1" applyAlignment="1">
      <alignment horizontal="center" vertical="center" wrapText="1"/>
    </xf>
    <xf numFmtId="0" fontId="19" fillId="52" borderId="264" xfId="0" applyFont="1" applyFill="1" applyBorder="1" applyAlignment="1">
      <alignment horizontal="center" vertical="center" wrapText="1"/>
    </xf>
    <xf numFmtId="0" fontId="33" fillId="66" borderId="260" xfId="0" applyFont="1" applyFill="1" applyBorder="1" applyAlignment="1">
      <alignment horizontal="center" vertical="center"/>
    </xf>
    <xf numFmtId="0" fontId="33" fillId="66" borderId="47" xfId="0" applyFont="1" applyFill="1" applyBorder="1" applyAlignment="1">
      <alignment horizontal="center" vertical="center"/>
    </xf>
    <xf numFmtId="0" fontId="33" fillId="66" borderId="262" xfId="0" applyFont="1" applyFill="1" applyBorder="1" applyAlignment="1">
      <alignment horizontal="center" vertical="center"/>
    </xf>
    <xf numFmtId="0" fontId="33" fillId="66" borderId="263" xfId="0" applyFont="1" applyFill="1" applyBorder="1" applyAlignment="1">
      <alignment horizontal="center" vertical="center"/>
    </xf>
    <xf numFmtId="0" fontId="85" fillId="26" borderId="108" xfId="0" applyFont="1" applyFill="1" applyBorder="1" applyAlignment="1">
      <alignment horizontal="center" vertical="center"/>
    </xf>
    <xf numFmtId="0" fontId="117" fillId="53" borderId="170" xfId="0" applyFont="1" applyFill="1" applyBorder="1" applyAlignment="1">
      <alignment horizontal="center" vertical="center"/>
    </xf>
    <xf numFmtId="0" fontId="117" fillId="53" borderId="187" xfId="0" applyFont="1" applyFill="1" applyBorder="1" applyAlignment="1">
      <alignment horizontal="center" vertical="center"/>
    </xf>
    <xf numFmtId="0" fontId="117" fillId="46" borderId="187" xfId="0" applyFont="1" applyFill="1" applyBorder="1" applyAlignment="1">
      <alignment horizontal="center" vertical="center" wrapText="1"/>
    </xf>
    <xf numFmtId="0" fontId="47" fillId="11" borderId="266" xfId="0" applyFont="1" applyFill="1" applyBorder="1" applyAlignment="1">
      <alignment vertical="center"/>
    </xf>
    <xf numFmtId="0" fontId="47" fillId="11" borderId="267" xfId="0" applyFont="1" applyFill="1" applyBorder="1" applyAlignment="1">
      <alignment horizontal="center" vertical="center"/>
    </xf>
    <xf numFmtId="10" fontId="46" fillId="23" borderId="56" xfId="1" applyNumberFormat="1" applyFont="1" applyFill="1" applyBorder="1"/>
    <xf numFmtId="0" fontId="118" fillId="23" borderId="34" xfId="0" applyFont="1" applyFill="1" applyBorder="1" applyAlignment="1">
      <alignment horizontal="center"/>
    </xf>
    <xf numFmtId="10" fontId="46" fillId="23" borderId="265" xfId="1" applyNumberFormat="1" applyFont="1" applyFill="1" applyBorder="1"/>
    <xf numFmtId="3" fontId="44" fillId="17" borderId="79" xfId="0" applyNumberFormat="1" applyFont="1" applyFill="1" applyBorder="1" applyAlignment="1">
      <alignment horizontal="right"/>
    </xf>
    <xf numFmtId="10" fontId="44" fillId="12" borderId="250" xfId="0" applyNumberFormat="1" applyFont="1" applyFill="1" applyBorder="1"/>
    <xf numFmtId="10" fontId="44" fillId="57" borderId="269" xfId="0" applyNumberFormat="1" applyFont="1" applyFill="1" applyBorder="1"/>
    <xf numFmtId="3" fontId="6" fillId="23" borderId="72" xfId="0" applyNumberFormat="1" applyFont="1" applyFill="1" applyBorder="1" applyAlignment="1">
      <alignment horizontal="center"/>
    </xf>
    <xf numFmtId="3" fontId="6" fillId="23" borderId="145" xfId="0" applyNumberFormat="1" applyFont="1" applyFill="1" applyBorder="1" applyAlignment="1">
      <alignment horizontal="center"/>
    </xf>
    <xf numFmtId="3" fontId="6" fillId="24" borderId="145" xfId="0" applyNumberFormat="1" applyFont="1" applyFill="1" applyBorder="1" applyAlignment="1">
      <alignment horizontal="center"/>
    </xf>
    <xf numFmtId="3" fontId="6" fillId="23" borderId="46" xfId="0" applyNumberFormat="1" applyFont="1" applyFill="1" applyBorder="1" applyAlignment="1">
      <alignment horizontal="center"/>
    </xf>
    <xf numFmtId="3" fontId="6" fillId="23" borderId="47" xfId="0" applyNumberFormat="1" applyFont="1" applyFill="1" applyBorder="1" applyAlignment="1">
      <alignment horizontal="center"/>
    </xf>
    <xf numFmtId="3" fontId="6" fillId="24" borderId="198" xfId="0" applyNumberFormat="1" applyFont="1" applyFill="1" applyBorder="1" applyAlignment="1">
      <alignment horizontal="center" vertical="center"/>
    </xf>
    <xf numFmtId="10" fontId="6" fillId="24" borderId="72" xfId="0" applyNumberFormat="1" applyFont="1" applyFill="1" applyBorder="1" applyAlignment="1">
      <alignment horizontal="center"/>
    </xf>
    <xf numFmtId="10" fontId="6" fillId="24" borderId="146" xfId="1" applyNumberFormat="1" applyFont="1" applyFill="1" applyBorder="1" applyAlignment="1">
      <alignment horizontal="center"/>
    </xf>
    <xf numFmtId="0" fontId="6" fillId="23" borderId="153" xfId="0" applyFont="1" applyFill="1" applyBorder="1" applyAlignment="1">
      <alignment horizontal="center"/>
    </xf>
    <xf numFmtId="0" fontId="6" fillId="23" borderId="112" xfId="0" applyFont="1" applyFill="1" applyBorder="1" applyAlignment="1">
      <alignment horizontal="center"/>
    </xf>
    <xf numFmtId="3" fontId="6" fillId="23" borderId="105" xfId="0" applyNumberFormat="1" applyFont="1" applyFill="1" applyBorder="1" applyAlignment="1">
      <alignment horizontal="center"/>
    </xf>
    <xf numFmtId="3" fontId="6" fillId="23" borderId="140" xfId="0" applyNumberFormat="1" applyFont="1" applyFill="1" applyBorder="1" applyAlignment="1">
      <alignment horizontal="center"/>
    </xf>
    <xf numFmtId="3" fontId="6" fillId="24" borderId="140" xfId="0" applyNumberFormat="1" applyFont="1" applyFill="1" applyBorder="1" applyAlignment="1">
      <alignment horizontal="center"/>
    </xf>
    <xf numFmtId="3" fontId="6" fillId="23" borderId="48" xfId="0" applyNumberFormat="1" applyFont="1" applyFill="1" applyBorder="1" applyAlignment="1">
      <alignment horizontal="center"/>
    </xf>
    <xf numFmtId="3" fontId="6" fillId="23" borderId="49" xfId="0" applyNumberFormat="1" applyFont="1" applyFill="1" applyBorder="1" applyAlignment="1">
      <alignment horizontal="center"/>
    </xf>
    <xf numFmtId="3" fontId="6" fillId="24" borderId="86" xfId="0" applyNumberFormat="1" applyFont="1" applyFill="1" applyBorder="1" applyAlignment="1">
      <alignment horizontal="center" vertical="center"/>
    </xf>
    <xf numFmtId="10" fontId="6" fillId="24" borderId="105" xfId="0" applyNumberFormat="1" applyFont="1" applyFill="1" applyBorder="1" applyAlignment="1">
      <alignment horizontal="center"/>
    </xf>
    <xf numFmtId="10" fontId="6" fillId="24" borderId="148" xfId="1" applyNumberFormat="1" applyFont="1" applyFill="1" applyBorder="1" applyAlignment="1">
      <alignment horizontal="center"/>
    </xf>
    <xf numFmtId="0" fontId="6" fillId="23" borderId="154" xfId="0" applyFont="1" applyFill="1" applyBorder="1" applyAlignment="1">
      <alignment horizontal="center"/>
    </xf>
    <xf numFmtId="0" fontId="6" fillId="23" borderId="202" xfId="0" applyFont="1" applyFill="1" applyBorder="1" applyAlignment="1">
      <alignment horizontal="center"/>
    </xf>
    <xf numFmtId="3" fontId="6" fillId="23" borderId="53" xfId="0" applyNumberFormat="1" applyFont="1" applyFill="1" applyBorder="1" applyAlignment="1">
      <alignment horizontal="center"/>
    </xf>
    <xf numFmtId="3" fontId="6" fillId="23" borderId="59" xfId="0" applyNumberFormat="1" applyFont="1" applyFill="1" applyBorder="1" applyAlignment="1">
      <alignment horizontal="center"/>
    </xf>
    <xf numFmtId="3" fontId="6" fillId="24" borderId="59" xfId="0" applyNumberFormat="1" applyFont="1" applyFill="1" applyBorder="1" applyAlignment="1">
      <alignment horizontal="center"/>
    </xf>
    <xf numFmtId="3" fontId="6" fillId="23" borderId="50" xfId="0" applyNumberFormat="1" applyFont="1" applyFill="1" applyBorder="1" applyAlignment="1">
      <alignment horizontal="center"/>
    </xf>
    <xf numFmtId="3" fontId="6" fillId="23" borderId="51" xfId="0" applyNumberFormat="1" applyFont="1" applyFill="1" applyBorder="1" applyAlignment="1">
      <alignment horizontal="center"/>
    </xf>
    <xf numFmtId="3" fontId="6" fillId="24" borderId="268" xfId="0" applyNumberFormat="1" applyFont="1" applyFill="1" applyBorder="1" applyAlignment="1">
      <alignment horizontal="center" vertical="center"/>
    </xf>
    <xf numFmtId="10" fontId="6" fillId="24" borderId="53" xfId="0" applyNumberFormat="1" applyFont="1" applyFill="1" applyBorder="1" applyAlignment="1">
      <alignment horizontal="center"/>
    </xf>
    <xf numFmtId="10" fontId="6" fillId="24" borderId="142" xfId="1" applyNumberFormat="1" applyFont="1" applyFill="1" applyBorder="1" applyAlignment="1">
      <alignment horizontal="center"/>
    </xf>
    <xf numFmtId="0" fontId="6" fillId="23" borderId="155" xfId="0" applyFont="1" applyFill="1" applyBorder="1" applyAlignment="1">
      <alignment horizontal="center"/>
    </xf>
    <xf numFmtId="0" fontId="6" fillId="23" borderId="203" xfId="0" applyFont="1" applyFill="1" applyBorder="1" applyAlignment="1">
      <alignment horizontal="center"/>
    </xf>
    <xf numFmtId="3" fontId="77" fillId="67" borderId="102" xfId="0" applyNumberFormat="1" applyFont="1" applyFill="1" applyBorder="1" applyAlignment="1">
      <alignment horizontal="center" vertical="center"/>
    </xf>
    <xf numFmtId="10" fontId="77" fillId="67" borderId="35" xfId="1" applyNumberFormat="1" applyFont="1" applyFill="1" applyBorder="1" applyAlignment="1">
      <alignment horizontal="center" vertical="center"/>
    </xf>
    <xf numFmtId="9" fontId="108" fillId="68" borderId="179" xfId="1" applyFont="1" applyFill="1" applyBorder="1"/>
    <xf numFmtId="9" fontId="108" fillId="68" borderId="226" xfId="1" applyFont="1" applyFill="1" applyBorder="1"/>
    <xf numFmtId="9" fontId="74" fillId="68" borderId="35" xfId="1" applyFont="1" applyFill="1" applyBorder="1"/>
    <xf numFmtId="10" fontId="118" fillId="9" borderId="34" xfId="0" applyNumberFormat="1" applyFont="1" applyFill="1" applyBorder="1"/>
    <xf numFmtId="0" fontId="118" fillId="5" borderId="159" xfId="0" applyFont="1" applyFill="1" applyBorder="1" applyAlignment="1">
      <alignment horizontal="right"/>
    </xf>
    <xf numFmtId="10" fontId="118" fillId="5" borderId="196" xfId="0" applyNumberFormat="1" applyFont="1" applyFill="1" applyBorder="1"/>
    <xf numFmtId="0" fontId="91" fillId="51" borderId="254" xfId="0" applyFont="1" applyFill="1" applyBorder="1" applyAlignment="1">
      <alignment horizontal="center" vertical="center"/>
    </xf>
    <xf numFmtId="0" fontId="91" fillId="51" borderId="255" xfId="0" applyFont="1" applyFill="1" applyBorder="1" applyAlignment="1">
      <alignment horizontal="center" vertical="center"/>
    </xf>
    <xf numFmtId="0" fontId="19" fillId="9" borderId="228" xfId="0" applyFont="1" applyFill="1" applyBorder="1" applyAlignment="1">
      <alignment horizontal="center" vertical="center"/>
    </xf>
    <xf numFmtId="0" fontId="0" fillId="23" borderId="205" xfId="0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14" fontId="19" fillId="14" borderId="46" xfId="0" applyNumberFormat="1" applyFont="1" applyFill="1" applyBorder="1" applyAlignment="1" applyProtection="1">
      <alignment horizontal="center" vertical="center"/>
      <protection locked="0"/>
    </xf>
    <xf numFmtId="14" fontId="19" fillId="14" borderId="60" xfId="0" applyNumberFormat="1" applyFont="1" applyFill="1" applyBorder="1" applyAlignment="1" applyProtection="1">
      <alignment horizontal="center" vertical="center"/>
      <protection locked="0"/>
    </xf>
    <xf numFmtId="14" fontId="0" fillId="14" borderId="101" xfId="0" applyNumberFormat="1" applyFill="1" applyBorder="1" applyAlignment="1" applyProtection="1">
      <alignment horizontal="center" vertical="center"/>
      <protection locked="0"/>
    </xf>
    <xf numFmtId="14" fontId="0" fillId="14" borderId="61" xfId="0" applyNumberFormat="1" applyFill="1" applyBorder="1" applyAlignment="1" applyProtection="1">
      <alignment horizontal="center" vertical="center"/>
      <protection locked="0"/>
    </xf>
    <xf numFmtId="164" fontId="10" fillId="15" borderId="71" xfId="0" applyNumberFormat="1" applyFont="1" applyFill="1" applyBorder="1" applyAlignment="1" applyProtection="1">
      <alignment horizontal="center" vertical="center"/>
      <protection locked="0"/>
    </xf>
    <xf numFmtId="0" fontId="10" fillId="15" borderId="13" xfId="0" applyFont="1" applyFill="1" applyBorder="1" applyAlignment="1" applyProtection="1">
      <alignment horizontal="center" vertical="center"/>
      <protection locked="0"/>
    </xf>
    <xf numFmtId="164" fontId="10" fillId="19" borderId="103" xfId="0" applyNumberFormat="1" applyFont="1" applyFill="1" applyBorder="1" applyAlignment="1">
      <alignment horizontal="center" vertical="center"/>
    </xf>
    <xf numFmtId="0" fontId="16" fillId="0" borderId="0" xfId="0" applyFont="1"/>
    <xf numFmtId="0" fontId="10" fillId="19" borderId="248" xfId="0" applyFont="1" applyFill="1" applyBorder="1" applyAlignment="1">
      <alignment horizontal="center" vertical="center"/>
    </xf>
    <xf numFmtId="0" fontId="10" fillId="19" borderId="246" xfId="0" applyFont="1" applyFill="1" applyBorder="1" applyAlignment="1">
      <alignment horizontal="center" vertical="center"/>
    </xf>
    <xf numFmtId="0" fontId="6" fillId="5" borderId="0" xfId="0" applyFont="1" applyFill="1"/>
    <xf numFmtId="0" fontId="6" fillId="6" borderId="128" xfId="0" applyFont="1" applyFill="1" applyBorder="1" applyProtection="1">
      <protection hidden="1"/>
    </xf>
    <xf numFmtId="0" fontId="6" fillId="6" borderId="133" xfId="0" applyFont="1" applyFill="1" applyBorder="1" applyProtection="1">
      <protection hidden="1"/>
    </xf>
    <xf numFmtId="0" fontId="6" fillId="6" borderId="62" xfId="0" applyFont="1" applyFill="1" applyBorder="1" applyProtection="1">
      <protection hidden="1"/>
    </xf>
    <xf numFmtId="0" fontId="6" fillId="6" borderId="134" xfId="0" applyFont="1" applyFill="1" applyBorder="1" applyProtection="1">
      <protection hidden="1"/>
    </xf>
    <xf numFmtId="3" fontId="75" fillId="11" borderId="179" xfId="0" applyNumberFormat="1" applyFont="1" applyFill="1" applyBorder="1" applyAlignment="1">
      <alignment horizontal="center" vertical="center" wrapText="1"/>
    </xf>
    <xf numFmtId="3" fontId="75" fillId="11" borderId="37" xfId="0" applyNumberFormat="1" applyFont="1" applyFill="1" applyBorder="1" applyAlignment="1">
      <alignment horizontal="center" vertical="center" wrapText="1"/>
    </xf>
    <xf numFmtId="3" fontId="75" fillId="11" borderId="42" xfId="0" applyNumberFormat="1" applyFont="1" applyFill="1" applyBorder="1" applyAlignment="1">
      <alignment horizontal="center" vertical="center" wrapText="1"/>
    </xf>
    <xf numFmtId="0" fontId="75" fillId="30" borderId="8" xfId="0" applyFont="1" applyFill="1" applyBorder="1" applyAlignment="1">
      <alignment horizontal="center" vertical="center"/>
    </xf>
    <xf numFmtId="0" fontId="75" fillId="30" borderId="6" xfId="0" applyFont="1" applyFill="1" applyBorder="1" applyAlignment="1">
      <alignment horizontal="center" vertical="center"/>
    </xf>
    <xf numFmtId="0" fontId="75" fillId="30" borderId="242" xfId="0" applyFont="1" applyFill="1" applyBorder="1" applyAlignment="1">
      <alignment horizontal="center" vertical="center"/>
    </xf>
    <xf numFmtId="0" fontId="75" fillId="30" borderId="0" xfId="0" applyFont="1" applyFill="1" applyAlignment="1">
      <alignment horizontal="center" vertical="center"/>
    </xf>
    <xf numFmtId="0" fontId="105" fillId="16" borderId="182" xfId="0" applyFont="1" applyFill="1" applyBorder="1" applyAlignment="1">
      <alignment horizontal="center" vertical="center"/>
    </xf>
    <xf numFmtId="0" fontId="105" fillId="16" borderId="47" xfId="0" applyFont="1" applyFill="1" applyBorder="1" applyAlignment="1">
      <alignment horizontal="center" vertical="center"/>
    </xf>
    <xf numFmtId="3" fontId="105" fillId="16" borderId="138" xfId="0" applyNumberFormat="1" applyFont="1" applyFill="1" applyBorder="1" applyAlignment="1">
      <alignment horizontal="center" vertical="center"/>
    </xf>
    <xf numFmtId="0" fontId="105" fillId="16" borderId="68" xfId="0" applyFont="1" applyFill="1" applyBorder="1" applyAlignment="1">
      <alignment horizontal="center" vertical="center"/>
    </xf>
    <xf numFmtId="0" fontId="105" fillId="16" borderId="49" xfId="0" applyFont="1" applyFill="1" applyBorder="1" applyAlignment="1">
      <alignment horizontal="center" vertical="center"/>
    </xf>
    <xf numFmtId="0" fontId="105" fillId="16" borderId="217" xfId="0" applyFont="1" applyFill="1" applyBorder="1" applyAlignment="1">
      <alignment horizontal="center" vertical="center"/>
    </xf>
    <xf numFmtId="0" fontId="105" fillId="16" borderId="67" xfId="0" applyFont="1" applyFill="1" applyBorder="1" applyAlignment="1">
      <alignment horizontal="center" vertical="center"/>
    </xf>
    <xf numFmtId="0" fontId="105" fillId="16" borderId="51" xfId="0" applyFont="1" applyFill="1" applyBorder="1" applyAlignment="1">
      <alignment horizontal="center" vertical="center"/>
    </xf>
    <xf numFmtId="0" fontId="105" fillId="16" borderId="218" xfId="0" applyFont="1" applyFill="1" applyBorder="1" applyAlignment="1">
      <alignment horizontal="center" vertical="center"/>
    </xf>
    <xf numFmtId="3" fontId="105" fillId="16" borderId="58" xfId="0" applyNumberFormat="1" applyFont="1" applyFill="1" applyBorder="1" applyAlignment="1">
      <alignment horizontal="center" vertical="center"/>
    </xf>
    <xf numFmtId="0" fontId="106" fillId="13" borderId="137" xfId="0" applyFont="1" applyFill="1" applyBorder="1" applyAlignment="1">
      <alignment horizontal="center" vertical="center"/>
    </xf>
    <xf numFmtId="0" fontId="106" fillId="13" borderId="207" xfId="0" applyFont="1" applyFill="1" applyBorder="1" applyAlignment="1">
      <alignment horizontal="center" vertical="center"/>
    </xf>
    <xf numFmtId="3" fontId="107" fillId="10" borderId="222" xfId="0" applyNumberFormat="1" applyFont="1" applyFill="1" applyBorder="1" applyAlignment="1">
      <alignment horizontal="center" vertical="center"/>
    </xf>
    <xf numFmtId="3" fontId="107" fillId="10" borderId="225" xfId="0" applyNumberFormat="1" applyFont="1" applyFill="1" applyBorder="1" applyAlignment="1">
      <alignment horizontal="center" vertical="center"/>
    </xf>
    <xf numFmtId="0" fontId="107" fillId="10" borderId="188" xfId="0" applyFont="1" applyFill="1" applyBorder="1" applyAlignment="1">
      <alignment horizontal="center" vertical="center"/>
    </xf>
    <xf numFmtId="0" fontId="105" fillId="16" borderId="194" xfId="0" applyFont="1" applyFill="1" applyBorder="1" applyAlignment="1">
      <alignment horizontal="center" vertical="center"/>
    </xf>
    <xf numFmtId="0" fontId="106" fillId="13" borderId="147" xfId="0" applyFont="1" applyFill="1" applyBorder="1" applyAlignment="1">
      <alignment horizontal="center" vertical="center"/>
    </xf>
    <xf numFmtId="0" fontId="106" fillId="13" borderId="202" xfId="0" applyFont="1" applyFill="1" applyBorder="1" applyAlignment="1">
      <alignment horizontal="center" vertical="center"/>
    </xf>
    <xf numFmtId="0" fontId="109" fillId="10" borderId="223" xfId="0" applyFont="1" applyFill="1" applyBorder="1" applyAlignment="1">
      <alignment horizontal="center" vertical="center"/>
    </xf>
    <xf numFmtId="0" fontId="109" fillId="10" borderId="189" xfId="0" applyFont="1" applyFill="1" applyBorder="1" applyAlignment="1">
      <alignment horizontal="center" vertical="center"/>
    </xf>
    <xf numFmtId="0" fontId="105" fillId="16" borderId="59" xfId="0" applyFont="1" applyFill="1" applyBorder="1" applyAlignment="1">
      <alignment horizontal="center" vertical="center"/>
    </xf>
    <xf numFmtId="0" fontId="109" fillId="10" borderId="224" xfId="0" applyFont="1" applyFill="1" applyBorder="1" applyAlignment="1">
      <alignment horizontal="center" vertical="center"/>
    </xf>
    <xf numFmtId="0" fontId="109" fillId="10" borderId="190" xfId="0" applyFont="1" applyFill="1" applyBorder="1" applyAlignment="1">
      <alignment horizontal="center" vertical="center"/>
    </xf>
    <xf numFmtId="3" fontId="122" fillId="9" borderId="46" xfId="0" applyNumberFormat="1" applyFont="1" applyFill="1" applyBorder="1" applyAlignment="1">
      <alignment horizontal="center" vertical="center"/>
    </xf>
    <xf numFmtId="166" fontId="122" fillId="9" borderId="47" xfId="1" applyNumberFormat="1" applyFont="1" applyFill="1" applyBorder="1" applyAlignment="1">
      <alignment horizontal="center" vertical="center"/>
    </xf>
    <xf numFmtId="3" fontId="122" fillId="9" borderId="48" xfId="0" applyNumberFormat="1" applyFont="1" applyFill="1" applyBorder="1" applyAlignment="1">
      <alignment horizontal="center" vertical="center"/>
    </xf>
    <xf numFmtId="166" fontId="122" fillId="9" borderId="49" xfId="1" applyNumberFormat="1" applyFont="1" applyFill="1" applyBorder="1" applyAlignment="1">
      <alignment horizontal="center" vertical="center"/>
    </xf>
    <xf numFmtId="3" fontId="122" fillId="9" borderId="50" xfId="0" applyNumberFormat="1" applyFont="1" applyFill="1" applyBorder="1" applyAlignment="1">
      <alignment horizontal="center" vertical="center"/>
    </xf>
    <xf numFmtId="166" fontId="122" fillId="9" borderId="51" xfId="1" applyNumberFormat="1" applyFont="1" applyFill="1" applyBorder="1" applyAlignment="1">
      <alignment horizontal="center" vertical="center"/>
    </xf>
    <xf numFmtId="0" fontId="9" fillId="20" borderId="105" xfId="0" applyFont="1" applyFill="1" applyBorder="1" applyAlignment="1" applyProtection="1">
      <alignment horizontal="center" vertical="center" wrapText="1"/>
      <protection locked="0"/>
    </xf>
    <xf numFmtId="0" fontId="118" fillId="23" borderId="66" xfId="0" applyFont="1" applyFill="1" applyBorder="1" applyAlignment="1">
      <alignment horizontal="center"/>
    </xf>
    <xf numFmtId="0" fontId="118" fillId="23" borderId="101" xfId="0" applyFont="1" applyFill="1" applyBorder="1" applyAlignment="1">
      <alignment horizontal="center"/>
    </xf>
    <xf numFmtId="0" fontId="118" fillId="23" borderId="233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 vertical="center"/>
    </xf>
    <xf numFmtId="0" fontId="2" fillId="11" borderId="3" xfId="0" applyFont="1" applyFill="1" applyBorder="1"/>
    <xf numFmtId="0" fontId="1" fillId="26" borderId="20" xfId="0" applyFont="1" applyFill="1" applyBorder="1" applyAlignment="1">
      <alignment horizontal="center" vertical="center"/>
    </xf>
    <xf numFmtId="0" fontId="2" fillId="11" borderId="21" xfId="0" applyFont="1" applyFill="1" applyBorder="1"/>
    <xf numFmtId="0" fontId="10" fillId="29" borderId="102" xfId="0" applyFont="1" applyFill="1" applyBorder="1" applyAlignment="1" applyProtection="1">
      <alignment horizontal="center"/>
      <protection hidden="1"/>
    </xf>
    <xf numFmtId="0" fontId="10" fillId="29" borderId="110" xfId="0" applyFont="1" applyFill="1" applyBorder="1" applyAlignment="1" applyProtection="1">
      <alignment horizontal="center"/>
      <protection hidden="1"/>
    </xf>
    <xf numFmtId="0" fontId="10" fillId="29" borderId="232" xfId="0" applyFont="1" applyFill="1" applyBorder="1" applyAlignment="1" applyProtection="1">
      <alignment horizontal="center"/>
      <protection hidden="1"/>
    </xf>
    <xf numFmtId="0" fontId="10" fillId="29" borderId="45" xfId="0" applyFont="1" applyFill="1" applyBorder="1" applyAlignment="1" applyProtection="1">
      <alignment horizontal="center"/>
      <protection hidden="1"/>
    </xf>
    <xf numFmtId="0" fontId="1" fillId="2" borderId="20" xfId="0" applyFont="1" applyFill="1" applyBorder="1" applyAlignment="1">
      <alignment horizontal="center"/>
    </xf>
    <xf numFmtId="0" fontId="2" fillId="0" borderId="41" xfId="0" applyFont="1" applyBorder="1"/>
    <xf numFmtId="0" fontId="2" fillId="11" borderId="2" xfId="0" applyFont="1" applyFill="1" applyBorder="1"/>
    <xf numFmtId="0" fontId="1" fillId="26" borderId="102" xfId="0" applyFont="1" applyFill="1" applyBorder="1" applyAlignment="1">
      <alignment horizontal="center" vertical="center"/>
    </xf>
    <xf numFmtId="0" fontId="2" fillId="11" borderId="45" xfId="0" applyFont="1" applyFill="1" applyBorder="1"/>
    <xf numFmtId="0" fontId="1" fillId="26" borderId="2" xfId="0" applyFont="1" applyFill="1" applyBorder="1" applyAlignment="1">
      <alignment horizontal="center" vertical="center"/>
    </xf>
    <xf numFmtId="0" fontId="10" fillId="29" borderId="115" xfId="0" applyFont="1" applyFill="1" applyBorder="1" applyAlignment="1" applyProtection="1">
      <alignment horizontal="center"/>
      <protection hidden="1"/>
    </xf>
    <xf numFmtId="0" fontId="22" fillId="29" borderId="102" xfId="0" applyFont="1" applyFill="1" applyBorder="1" applyAlignment="1">
      <alignment horizontal="center"/>
    </xf>
    <xf numFmtId="0" fontId="22" fillId="29" borderId="110" xfId="0" applyFont="1" applyFill="1" applyBorder="1" applyAlignment="1">
      <alignment horizontal="center"/>
    </xf>
    <xf numFmtId="0" fontId="22" fillId="29" borderId="45" xfId="0" applyFont="1" applyFill="1" applyBorder="1" applyAlignment="1">
      <alignment horizontal="center"/>
    </xf>
    <xf numFmtId="0" fontId="14" fillId="25" borderId="22" xfId="0" applyFont="1" applyFill="1" applyBorder="1" applyAlignment="1">
      <alignment horizontal="center" vertical="center"/>
    </xf>
    <xf numFmtId="0" fontId="2" fillId="11" borderId="23" xfId="0" applyFont="1" applyFill="1" applyBorder="1"/>
    <xf numFmtId="0" fontId="14" fillId="25" borderId="24" xfId="0" applyFont="1" applyFill="1" applyBorder="1" applyAlignment="1">
      <alignment horizontal="center" vertical="center"/>
    </xf>
    <xf numFmtId="0" fontId="2" fillId="11" borderId="109" xfId="0" applyFont="1" applyFill="1" applyBorder="1"/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9" borderId="102" xfId="0" applyFont="1" applyFill="1" applyBorder="1" applyAlignment="1">
      <alignment horizontal="center" vertical="center"/>
    </xf>
    <xf numFmtId="0" fontId="34" fillId="9" borderId="110" xfId="0" applyFont="1" applyFill="1" applyBorder="1" applyAlignment="1">
      <alignment horizontal="center" vertical="center"/>
    </xf>
    <xf numFmtId="0" fontId="34" fillId="9" borderId="45" xfId="0" applyFont="1" applyFill="1" applyBorder="1" applyAlignment="1">
      <alignment horizontal="center" vertical="center"/>
    </xf>
    <xf numFmtId="0" fontId="26" fillId="9" borderId="102" xfId="0" applyFont="1" applyFill="1" applyBorder="1" applyAlignment="1">
      <alignment horizontal="center" vertical="center"/>
    </xf>
    <xf numFmtId="0" fontId="26" fillId="9" borderId="110" xfId="0" applyFont="1" applyFill="1" applyBorder="1" applyAlignment="1">
      <alignment horizontal="center" vertical="center"/>
    </xf>
    <xf numFmtId="0" fontId="26" fillId="9" borderId="76" xfId="0" applyFont="1" applyFill="1" applyBorder="1" applyAlignment="1">
      <alignment horizontal="center" vertical="center"/>
    </xf>
    <xf numFmtId="0" fontId="26" fillId="9" borderId="198" xfId="0" applyFont="1" applyFill="1" applyBorder="1" applyAlignment="1">
      <alignment horizontal="center" vertical="center"/>
    </xf>
    <xf numFmtId="0" fontId="50" fillId="9" borderId="55" xfId="0" applyFont="1" applyFill="1" applyBorder="1" applyAlignment="1">
      <alignment horizontal="center" vertical="center" wrapText="1"/>
    </xf>
    <xf numFmtId="0" fontId="50" fillId="9" borderId="63" xfId="0" applyFont="1" applyFill="1" applyBorder="1" applyAlignment="1">
      <alignment horizontal="center" vertical="center" wrapText="1"/>
    </xf>
    <xf numFmtId="0" fontId="86" fillId="14" borderId="76" xfId="0" applyFont="1" applyFill="1" applyBorder="1" applyAlignment="1">
      <alignment horizontal="center" vertical="center" wrapText="1"/>
    </xf>
    <xf numFmtId="0" fontId="86" fillId="14" borderId="0" xfId="0" applyFont="1" applyFill="1" applyAlignment="1">
      <alignment horizontal="center" vertical="center" wrapText="1"/>
    </xf>
    <xf numFmtId="0" fontId="23" fillId="12" borderId="0" xfId="0" applyFont="1" applyFill="1" applyAlignment="1">
      <alignment horizontal="center" vertical="center" wrapText="1"/>
    </xf>
    <xf numFmtId="0" fontId="38" fillId="49" borderId="0" xfId="0" applyFont="1" applyFill="1" applyAlignment="1">
      <alignment horizontal="center" vertical="center" wrapText="1"/>
    </xf>
    <xf numFmtId="167" fontId="84" fillId="0" borderId="0" xfId="0" applyNumberFormat="1" applyFont="1" applyAlignment="1">
      <alignment horizontal="center" vertical="center"/>
    </xf>
    <xf numFmtId="0" fontId="75" fillId="16" borderId="67" xfId="0" applyFont="1" applyFill="1" applyBorder="1" applyAlignment="1">
      <alignment horizontal="center" vertical="center"/>
    </xf>
    <xf numFmtId="0" fontId="75" fillId="16" borderId="78" xfId="0" applyFont="1" applyFill="1" applyBorder="1" applyAlignment="1">
      <alignment horizontal="center" vertical="center"/>
    </xf>
    <xf numFmtId="0" fontId="106" fillId="19" borderId="48" xfId="0" applyFont="1" applyFill="1" applyBorder="1" applyAlignment="1">
      <alignment horizontal="center" vertical="center"/>
    </xf>
    <xf numFmtId="0" fontId="106" fillId="19" borderId="49" xfId="0" applyFont="1" applyFill="1" applyBorder="1" applyAlignment="1">
      <alignment horizontal="center" vertical="center"/>
    </xf>
    <xf numFmtId="0" fontId="106" fillId="19" borderId="52" xfId="0" applyFont="1" applyFill="1" applyBorder="1" applyAlignment="1">
      <alignment horizontal="center" vertical="center"/>
    </xf>
    <xf numFmtId="0" fontId="106" fillId="19" borderId="94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0" fontId="106" fillId="19" borderId="53" xfId="0" applyFont="1" applyFill="1" applyBorder="1" applyAlignment="1">
      <alignment horizontal="center" vertical="center"/>
    </xf>
    <xf numFmtId="0" fontId="106" fillId="19" borderId="250" xfId="0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19" fillId="0" borderId="0" xfId="0" applyFont="1" applyAlignment="1">
      <alignment horizontal="center"/>
    </xf>
    <xf numFmtId="20" fontId="93" fillId="0" borderId="0" xfId="0" applyNumberFormat="1" applyFont="1" applyAlignment="1">
      <alignment horizontal="center" vertical="center"/>
    </xf>
    <xf numFmtId="164" fontId="106" fillId="19" borderId="70" xfId="0" applyNumberFormat="1" applyFont="1" applyFill="1" applyBorder="1" applyAlignment="1">
      <alignment horizontal="center" vertical="center"/>
    </xf>
    <xf numFmtId="164" fontId="106" fillId="19" borderId="79" xfId="0" applyNumberFormat="1" applyFont="1" applyFill="1" applyBorder="1" applyAlignment="1">
      <alignment horizontal="center" vertical="center"/>
    </xf>
    <xf numFmtId="10" fontId="92" fillId="0" borderId="50" xfId="0" applyNumberFormat="1" applyFont="1" applyBorder="1" applyAlignment="1">
      <alignment horizontal="center" vertical="center"/>
    </xf>
    <xf numFmtId="10" fontId="92" fillId="0" borderId="57" xfId="0" applyNumberFormat="1" applyFont="1" applyBorder="1" applyAlignment="1">
      <alignment horizontal="center" vertical="center"/>
    </xf>
    <xf numFmtId="10" fontId="92" fillId="0" borderId="51" xfId="0" applyNumberFormat="1" applyFont="1" applyBorder="1" applyAlignment="1">
      <alignment horizontal="center" vertical="center"/>
    </xf>
    <xf numFmtId="0" fontId="116" fillId="46" borderId="102" xfId="0" applyFont="1" applyFill="1" applyBorder="1" applyAlignment="1">
      <alignment horizontal="center" vertical="center"/>
    </xf>
    <xf numFmtId="0" fontId="116" fillId="46" borderId="110" xfId="0" applyFont="1" applyFill="1" applyBorder="1" applyAlignment="1">
      <alignment horizontal="center" vertical="center"/>
    </xf>
    <xf numFmtId="0" fontId="116" fillId="46" borderId="45" xfId="0" applyFont="1" applyFill="1" applyBorder="1" applyAlignment="1">
      <alignment horizontal="center" vertical="center"/>
    </xf>
    <xf numFmtId="0" fontId="85" fillId="26" borderId="72" xfId="0" applyFont="1" applyFill="1" applyBorder="1" applyAlignment="1">
      <alignment horizontal="center" vertical="center"/>
    </xf>
    <xf numFmtId="0" fontId="85" fillId="26" borderId="198" xfId="0" applyFont="1" applyFill="1" applyBorder="1" applyAlignment="1">
      <alignment horizontal="center" vertical="center"/>
    </xf>
    <xf numFmtId="0" fontId="111" fillId="16" borderId="230" xfId="0" applyFont="1" applyFill="1" applyBorder="1" applyAlignment="1">
      <alignment horizontal="center" vertical="center"/>
    </xf>
    <xf numFmtId="0" fontId="111" fillId="16" borderId="231" xfId="0" applyFont="1" applyFill="1" applyBorder="1" applyAlignment="1">
      <alignment horizontal="center" vertical="center"/>
    </xf>
    <xf numFmtId="0" fontId="77" fillId="11" borderId="102" xfId="0" applyFont="1" applyFill="1" applyBorder="1" applyAlignment="1">
      <alignment horizontal="center" vertical="center"/>
    </xf>
    <xf numFmtId="0" fontId="77" fillId="11" borderId="45" xfId="0" applyFont="1" applyFill="1" applyBorder="1" applyAlignment="1">
      <alignment horizontal="center" vertical="center"/>
    </xf>
    <xf numFmtId="0" fontId="121" fillId="0" borderId="46" xfId="0" applyFont="1" applyBorder="1" applyAlignment="1">
      <alignment horizontal="center" vertical="center"/>
    </xf>
    <xf numFmtId="0" fontId="121" fillId="0" borderId="56" xfId="0" applyFont="1" applyBorder="1" applyAlignment="1">
      <alignment horizontal="center" vertical="center"/>
    </xf>
    <xf numFmtId="0" fontId="121" fillId="0" borderId="47" xfId="0" applyFont="1" applyBorder="1" applyAlignment="1">
      <alignment horizontal="center" vertical="center"/>
    </xf>
    <xf numFmtId="0" fontId="121" fillId="0" borderId="48" xfId="0" applyFont="1" applyBorder="1" applyAlignment="1">
      <alignment horizontal="center" vertical="center"/>
    </xf>
    <xf numFmtId="0" fontId="121" fillId="0" borderId="34" xfId="0" applyFont="1" applyBorder="1" applyAlignment="1">
      <alignment horizontal="center" vertical="center"/>
    </xf>
    <xf numFmtId="0" fontId="121" fillId="0" borderId="49" xfId="0" applyFont="1" applyBorder="1" applyAlignment="1">
      <alignment horizontal="center" vertical="center"/>
    </xf>
    <xf numFmtId="0" fontId="120" fillId="0" borderId="48" xfId="0" applyFont="1" applyBorder="1" applyAlignment="1">
      <alignment horizontal="center" vertical="center" wrapText="1"/>
    </xf>
    <xf numFmtId="0" fontId="120" fillId="0" borderId="34" xfId="0" applyFont="1" applyBorder="1" applyAlignment="1">
      <alignment horizontal="center" vertical="center" wrapText="1"/>
    </xf>
    <xf numFmtId="0" fontId="120" fillId="0" borderId="49" xfId="0" applyFont="1" applyBorder="1" applyAlignment="1">
      <alignment horizontal="center" vertical="center" wrapText="1"/>
    </xf>
    <xf numFmtId="164" fontId="106" fillId="19" borderId="46" xfId="0" applyNumberFormat="1" applyFont="1" applyFill="1" applyBorder="1" applyAlignment="1">
      <alignment horizontal="center" vertical="center"/>
    </xf>
    <xf numFmtId="164" fontId="106" fillId="19" borderId="56" xfId="0" applyNumberFormat="1" applyFont="1" applyFill="1" applyBorder="1" applyAlignment="1">
      <alignment horizontal="center" vertical="center"/>
    </xf>
    <xf numFmtId="164" fontId="106" fillId="19" borderId="47" xfId="0" applyNumberFormat="1" applyFont="1" applyFill="1" applyBorder="1" applyAlignment="1">
      <alignment horizontal="center" vertical="center"/>
    </xf>
    <xf numFmtId="0" fontId="106" fillId="19" borderId="34" xfId="0" applyFont="1" applyFill="1" applyBorder="1" applyAlignment="1">
      <alignment horizontal="center" vertical="center"/>
    </xf>
    <xf numFmtId="0" fontId="106" fillId="19" borderId="50" xfId="0" applyFont="1" applyFill="1" applyBorder="1" applyAlignment="1">
      <alignment horizontal="center" vertical="center"/>
    </xf>
    <xf numFmtId="0" fontId="106" fillId="19" borderId="57" xfId="0" applyFont="1" applyFill="1" applyBorder="1" applyAlignment="1">
      <alignment horizontal="center" vertical="center"/>
    </xf>
    <xf numFmtId="0" fontId="106" fillId="19" borderId="51" xfId="0" applyFont="1" applyFill="1" applyBorder="1" applyAlignment="1">
      <alignment horizontal="center" vertical="center"/>
    </xf>
    <xf numFmtId="0" fontId="85" fillId="26" borderId="102" xfId="0" applyFont="1" applyFill="1" applyBorder="1" applyAlignment="1">
      <alignment horizontal="center" vertical="center"/>
    </xf>
    <xf numFmtId="0" fontId="116" fillId="11" borderId="180" xfId="0" applyFont="1" applyFill="1" applyBorder="1"/>
    <xf numFmtId="0" fontId="0" fillId="52" borderId="72" xfId="0" applyFill="1" applyBorder="1" applyAlignment="1">
      <alignment horizontal="center" vertical="center" wrapText="1"/>
    </xf>
    <xf numFmtId="0" fontId="0" fillId="52" borderId="198" xfId="0" applyFill="1" applyBorder="1" applyAlignment="1">
      <alignment horizontal="center" vertical="center" wrapText="1"/>
    </xf>
    <xf numFmtId="0" fontId="0" fillId="52" borderId="67" xfId="0" applyFill="1" applyBorder="1" applyAlignment="1">
      <alignment horizontal="center" vertical="center" wrapText="1"/>
    </xf>
    <xf numFmtId="0" fontId="0" fillId="52" borderId="75" xfId="0" applyFill="1" applyBorder="1" applyAlignment="1">
      <alignment horizontal="center" vertical="center" wrapText="1"/>
    </xf>
    <xf numFmtId="0" fontId="0" fillId="49" borderId="72" xfId="0" applyFill="1" applyBorder="1" applyAlignment="1">
      <alignment horizontal="center" vertical="center" wrapText="1"/>
    </xf>
    <xf numFmtId="0" fontId="0" fillId="49" borderId="198" xfId="0" applyFill="1" applyBorder="1" applyAlignment="1">
      <alignment horizontal="center" vertical="center" wrapText="1"/>
    </xf>
    <xf numFmtId="0" fontId="0" fillId="49" borderId="137" xfId="0" applyFill="1" applyBorder="1" applyAlignment="1">
      <alignment horizontal="center" vertical="center" wrapText="1"/>
    </xf>
    <xf numFmtId="0" fontId="0" fillId="49" borderId="93" xfId="0" applyFill="1" applyBorder="1" applyAlignment="1">
      <alignment horizontal="center" vertical="center" wrapText="1"/>
    </xf>
    <xf numFmtId="0" fontId="19" fillId="11" borderId="46" xfId="0" applyFont="1" applyFill="1" applyBorder="1" applyAlignment="1">
      <alignment horizontal="center" vertical="center"/>
    </xf>
    <xf numFmtId="0" fontId="19" fillId="11" borderId="50" xfId="0" applyFont="1" applyFill="1" applyBorder="1" applyAlignment="1">
      <alignment horizontal="center" vertical="center"/>
    </xf>
    <xf numFmtId="0" fontId="19" fillId="11" borderId="102" xfId="0" applyFont="1" applyFill="1" applyBorder="1" applyAlignment="1">
      <alignment horizontal="center" vertical="center"/>
    </xf>
    <xf numFmtId="0" fontId="19" fillId="11" borderId="110" xfId="0" applyFont="1" applyFill="1" applyBorder="1" applyAlignment="1">
      <alignment horizontal="center" vertical="center"/>
    </xf>
    <xf numFmtId="0" fontId="19" fillId="11" borderId="45" xfId="0" applyFont="1" applyFill="1" applyBorder="1" applyAlignment="1">
      <alignment horizontal="center" vertical="center"/>
    </xf>
    <xf numFmtId="0" fontId="95" fillId="0" borderId="137" xfId="0" applyFont="1" applyBorder="1" applyAlignment="1">
      <alignment horizontal="left" vertical="center"/>
    </xf>
    <xf numFmtId="0" fontId="95" fillId="0" borderId="0" xfId="0" applyFont="1" applyAlignment="1">
      <alignment horizontal="left" vertical="center"/>
    </xf>
    <xf numFmtId="0" fontId="19" fillId="9" borderId="46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19" fillId="9" borderId="50" xfId="0" applyFont="1" applyFill="1" applyBorder="1" applyAlignment="1">
      <alignment horizontal="center" vertical="center"/>
    </xf>
    <xf numFmtId="0" fontId="34" fillId="23" borderId="47" xfId="0" applyFont="1" applyFill="1" applyBorder="1" applyAlignment="1">
      <alignment horizontal="center" vertical="center" wrapText="1"/>
    </xf>
    <xf numFmtId="0" fontId="34" fillId="23" borderId="49" xfId="0" applyFont="1" applyFill="1" applyBorder="1" applyAlignment="1">
      <alignment horizontal="center" vertical="center" wrapText="1"/>
    </xf>
    <xf numFmtId="0" fontId="34" fillId="23" borderId="51" xfId="0" applyFont="1" applyFill="1" applyBorder="1" applyAlignment="1">
      <alignment horizontal="center" vertical="center" wrapText="1"/>
    </xf>
    <xf numFmtId="0" fontId="56" fillId="11" borderId="122" xfId="0" applyFont="1" applyFill="1" applyBorder="1" applyAlignment="1">
      <alignment horizontal="center" vertical="center"/>
    </xf>
    <xf numFmtId="0" fontId="56" fillId="11" borderId="112" xfId="0" applyFont="1" applyFill="1" applyBorder="1" applyAlignment="1">
      <alignment horizontal="center" vertical="center"/>
    </xf>
    <xf numFmtId="0" fontId="19" fillId="11" borderId="69" xfId="0" applyFont="1" applyFill="1" applyBorder="1" applyAlignment="1">
      <alignment horizontal="center" vertical="center"/>
    </xf>
    <xf numFmtId="0" fontId="19" fillId="11" borderId="107" xfId="0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 wrapText="1"/>
    </xf>
    <xf numFmtId="0" fontId="34" fillId="23" borderId="208" xfId="0" applyFont="1" applyFill="1" applyBorder="1" applyAlignment="1">
      <alignment horizontal="center" vertical="center"/>
    </xf>
    <xf numFmtId="0" fontId="34" fillId="23" borderId="228" xfId="0" applyFont="1" applyFill="1" applyBorder="1" applyAlignment="1">
      <alignment horizontal="center" vertical="center"/>
    </xf>
    <xf numFmtId="10" fontId="34" fillId="23" borderId="207" xfId="1" applyNumberFormat="1" applyFont="1" applyFill="1" applyBorder="1" applyAlignment="1">
      <alignment horizontal="center" vertical="center"/>
    </xf>
    <xf numFmtId="10" fontId="34" fillId="23" borderId="205" xfId="1" applyNumberFormat="1" applyFont="1" applyFill="1" applyBorder="1" applyAlignment="1">
      <alignment horizontal="center" vertical="center"/>
    </xf>
    <xf numFmtId="0" fontId="97" fillId="9" borderId="102" xfId="2" applyFont="1" applyFill="1" applyBorder="1" applyAlignment="1">
      <alignment horizontal="center" vertical="center"/>
    </xf>
    <xf numFmtId="0" fontId="97" fillId="9" borderId="110" xfId="2" applyFont="1" applyFill="1" applyBorder="1" applyAlignment="1">
      <alignment horizontal="center" vertical="center"/>
    </xf>
    <xf numFmtId="0" fontId="97" fillId="9" borderId="45" xfId="2" applyFont="1" applyFill="1" applyBorder="1" applyAlignment="1">
      <alignment horizontal="center" vertical="center"/>
    </xf>
    <xf numFmtId="0" fontId="82" fillId="62" borderId="72" xfId="2" applyFont="1" applyFill="1" applyBorder="1" applyAlignment="1" applyProtection="1">
      <alignment horizontal="center" vertical="center"/>
      <protection locked="0"/>
    </xf>
    <xf numFmtId="0" fontId="82" fillId="62" borderId="67" xfId="2" applyFont="1" applyFill="1" applyBorder="1" applyAlignment="1" applyProtection="1">
      <alignment horizontal="center" vertical="center"/>
      <protection locked="0"/>
    </xf>
    <xf numFmtId="0" fontId="54" fillId="9" borderId="102" xfId="2" applyFont="1" applyFill="1" applyBorder="1" applyAlignment="1">
      <alignment horizontal="center" vertical="center"/>
    </xf>
    <xf numFmtId="0" fontId="54" fillId="9" borderId="110" xfId="2" applyFont="1" applyFill="1" applyBorder="1" applyAlignment="1">
      <alignment horizontal="center" vertical="center"/>
    </xf>
    <xf numFmtId="0" fontId="54" fillId="9" borderId="45" xfId="2" applyFont="1" applyFill="1" applyBorder="1" applyAlignment="1">
      <alignment horizontal="center" vertical="center"/>
    </xf>
    <xf numFmtId="0" fontId="42" fillId="62" borderId="137" xfId="2" applyFont="1" applyFill="1" applyBorder="1" applyAlignment="1" applyProtection="1">
      <alignment horizontal="center" vertical="center"/>
      <protection locked="0"/>
    </xf>
    <xf numFmtId="0" fontId="42" fillId="62" borderId="72" xfId="2" applyFont="1" applyFill="1" applyBorder="1" applyAlignment="1" applyProtection="1">
      <alignment horizontal="center" vertical="center"/>
      <protection locked="0"/>
    </xf>
    <xf numFmtId="0" fontId="42" fillId="62" borderId="67" xfId="2" applyFont="1" applyFill="1" applyBorder="1" applyAlignment="1" applyProtection="1">
      <alignment horizontal="center" vertical="center"/>
      <protection locked="0"/>
    </xf>
    <xf numFmtId="0" fontId="80" fillId="0" borderId="140" xfId="2" applyFont="1" applyBorder="1" applyAlignment="1">
      <alignment horizontal="center" vertical="center"/>
    </xf>
    <xf numFmtId="0" fontId="80" fillId="0" borderId="66" xfId="2" applyFont="1" applyBorder="1" applyAlignment="1">
      <alignment horizontal="center" vertical="center"/>
    </xf>
    <xf numFmtId="0" fontId="80" fillId="0" borderId="140" xfId="2" applyFont="1" applyBorder="1" applyAlignment="1">
      <alignment horizontal="left" vertical="center"/>
    </xf>
    <xf numFmtId="0" fontId="80" fillId="0" borderId="181" xfId="2" applyFont="1" applyBorder="1" applyAlignment="1">
      <alignment horizontal="left" vertical="center"/>
    </xf>
    <xf numFmtId="0" fontId="80" fillId="0" borderId="201" xfId="2" applyFont="1" applyBorder="1" applyAlignment="1">
      <alignment horizontal="left" vertical="center"/>
    </xf>
    <xf numFmtId="0" fontId="80" fillId="0" borderId="235" xfId="2" applyFont="1" applyBorder="1" applyAlignment="1">
      <alignment horizontal="left" vertical="center"/>
    </xf>
    <xf numFmtId="0" fontId="80" fillId="0" borderId="0" xfId="2" applyFont="1" applyAlignment="1">
      <alignment horizontal="left" vertical="center"/>
    </xf>
    <xf numFmtId="0" fontId="80" fillId="0" borderId="234" xfId="2" applyFont="1" applyBorder="1" applyAlignment="1">
      <alignment horizontal="left" vertical="center"/>
    </xf>
    <xf numFmtId="0" fontId="80" fillId="14" borderId="140" xfId="2" applyFont="1" applyFill="1" applyBorder="1" applyAlignment="1">
      <alignment horizontal="left" vertical="center"/>
    </xf>
    <xf numFmtId="0" fontId="80" fillId="14" borderId="181" xfId="2" applyFont="1" applyFill="1" applyBorder="1" applyAlignment="1">
      <alignment horizontal="left" vertical="center"/>
    </xf>
    <xf numFmtId="0" fontId="80" fillId="14" borderId="201" xfId="2" applyFont="1" applyFill="1" applyBorder="1" applyAlignment="1">
      <alignment horizontal="left" vertical="center"/>
    </xf>
    <xf numFmtId="0" fontId="81" fillId="0" borderId="0" xfId="2" applyFont="1" applyAlignment="1">
      <alignment horizontal="center" vertical="center"/>
    </xf>
    <xf numFmtId="0" fontId="53" fillId="0" borderId="0" xfId="2" applyFont="1" applyAlignment="1">
      <alignment horizontal="center" vertical="center"/>
    </xf>
    <xf numFmtId="0" fontId="80" fillId="14" borderId="194" xfId="2" applyFont="1" applyFill="1" applyBorder="1" applyAlignment="1">
      <alignment horizontal="center" vertical="center"/>
    </xf>
    <xf numFmtId="0" fontId="80" fillId="14" borderId="66" xfId="2" applyFont="1" applyFill="1" applyBorder="1" applyAlignment="1">
      <alignment horizontal="left" vertical="center"/>
    </xf>
    <xf numFmtId="0" fontId="80" fillId="14" borderId="233" xfId="2" applyFont="1" applyFill="1" applyBorder="1" applyAlignment="1">
      <alignment horizontal="left" vertical="center"/>
    </xf>
    <xf numFmtId="0" fontId="80" fillId="14" borderId="101" xfId="2" applyFont="1" applyFill="1" applyBorder="1" applyAlignment="1">
      <alignment horizontal="left" vertical="center"/>
    </xf>
  </cellXfs>
  <cellStyles count="5">
    <cellStyle name="Normal" xfId="0" builtinId="0"/>
    <cellStyle name="Normal 2" xfId="2" xr:uid="{F2D815EC-0B5C-4DB7-994B-E332FD4A4F0F}"/>
    <cellStyle name="Normal 3" xfId="3" xr:uid="{0EE214B6-5317-475D-A6F6-DB0EF38A7103}"/>
    <cellStyle name="Pourcentage" xfId="1" builtinId="5"/>
    <cellStyle name="Pourcentage 2" xfId="4" xr:uid="{6258632B-52B5-4567-B37C-933BDD7E69F2}"/>
  </cellStyles>
  <dxfs count="39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ont>
        <color theme="5" tint="-0.499984740745262"/>
      </font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theme="7" tint="0.59996337778862885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>
          <bgColor rgb="FF66FF3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theme="0" tint="-0.14996795556505021"/>
        </patternFill>
      </fill>
    </dxf>
    <dxf>
      <fill>
        <patternFill patternType="solid">
          <fgColor rgb="FFB7E1CD"/>
          <bgColor rgb="FFB7E1CD"/>
        </patternFill>
      </fill>
    </dxf>
    <dxf>
      <font>
        <b val="0"/>
        <i val="0"/>
      </font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ont>
        <b val="0"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ill>
        <patternFill patternType="solid">
          <fgColor rgb="FFFF0000"/>
          <bgColor rgb="FFFF0000"/>
        </patternFill>
      </fill>
    </dxf>
    <dxf>
      <font>
        <b val="0"/>
        <i val="0"/>
      </font>
      <fill>
        <patternFill>
          <bgColor theme="7" tint="0.79998168889431442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ont>
        <b val="0"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8F8F8"/>
      <color rgb="FFFFFFFF"/>
      <color rgb="FFFFCCFF"/>
      <color rgb="FFC4D7EE"/>
      <color rgb="FF333333"/>
      <color rgb="FFE6EEEE"/>
      <color rgb="FFE1C1D1"/>
      <color rgb="FFCCD6E6"/>
      <color rgb="FFE6EAF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r>
              <a:rPr lang="fr-FR" sz="1600" b="0">
                <a:solidFill>
                  <a:srgbClr val="000000"/>
                </a:solidFill>
                <a:latin typeface="+mn-lt"/>
              </a:rPr>
              <a:t>Votes exprimés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897062490846262E-2"/>
          <c:y val="0.12676421855349052"/>
          <c:w val="0.91627831721615494"/>
          <c:h val="0.6902989011866499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92D050"/>
            </a:solidFill>
            <a:ln w="6350" cmpd="sng">
              <a:solidFill>
                <a:schemeClr val="tx1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EF2CD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760-4393-B926-AF1160C079E1}"/>
              </c:ext>
            </c:extLst>
          </c:dPt>
          <c:dPt>
            <c:idx val="1"/>
            <c:invertIfNegative val="1"/>
            <c:bubble3D val="0"/>
            <c:spPr>
              <a:solidFill>
                <a:srgbClr val="D1F1DA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760-4393-B926-AF1160C079E1}"/>
              </c:ext>
            </c:extLst>
          </c:dPt>
          <c:dPt>
            <c:idx val="2"/>
            <c:invertIfNegative val="1"/>
            <c:bubble3D val="0"/>
            <c:spPr>
              <a:solidFill>
                <a:srgbClr val="D1F1DA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760-4393-B926-AF1160C079E1}"/>
              </c:ext>
            </c:extLst>
          </c:dPt>
          <c:dPt>
            <c:idx val="3"/>
            <c:invertIfNegative val="1"/>
            <c:bubble3D val="0"/>
            <c:spPr>
              <a:solidFill>
                <a:srgbClr val="D1F1DA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760-4393-B926-AF1160C079E1}"/>
              </c:ext>
            </c:extLst>
          </c:dPt>
          <c:dPt>
            <c:idx val="4"/>
            <c:invertIfNegative val="1"/>
            <c:bubble3D val="0"/>
            <c:spPr>
              <a:solidFill>
                <a:srgbClr val="FFE1CC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760-4393-B926-AF1160C079E1}"/>
              </c:ext>
            </c:extLst>
          </c:dPt>
          <c:dPt>
            <c:idx val="5"/>
            <c:invertIfNegative val="1"/>
            <c:bubble3D val="0"/>
            <c:spPr>
              <a:solidFill>
                <a:srgbClr val="B3CEFB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760-4393-B926-AF1160C079E1}"/>
              </c:ext>
            </c:extLst>
          </c:dPt>
          <c:dPt>
            <c:idx val="6"/>
            <c:invertIfNegative val="1"/>
            <c:bubble3D val="0"/>
            <c:spPr>
              <a:solidFill>
                <a:srgbClr val="F7B4AE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9D69-473A-8EC0-98BCBEC8387C}"/>
              </c:ext>
            </c:extLst>
          </c:dPt>
          <c:dPt>
            <c:idx val="7"/>
            <c:invertIfNegative val="1"/>
            <c:bubble3D val="0"/>
            <c:spPr>
              <a:solidFill>
                <a:srgbClr val="F28E86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D69-473A-8EC0-98BCBEC8387C}"/>
              </c:ext>
            </c:extLst>
          </c:dPt>
          <c:dPt>
            <c:idx val="8"/>
            <c:invertIfNegative val="1"/>
            <c:bubble3D val="0"/>
            <c:spPr>
              <a:solidFill>
                <a:srgbClr val="C22114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D69-473A-8EC0-98BCBEC8387C}"/>
              </c:ext>
            </c:extLst>
          </c:dPt>
          <c:dPt>
            <c:idx val="9"/>
            <c:invertIfNegative val="1"/>
            <c:bubble3D val="0"/>
            <c:spPr>
              <a:solidFill>
                <a:srgbClr val="81160E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D69-473A-8EC0-98BCBEC8387C}"/>
              </c:ext>
            </c:extLst>
          </c:dPt>
          <c:dPt>
            <c:idx val="10"/>
            <c:invertIfNegative val="1"/>
            <c:bubble3D val="0"/>
            <c:spPr>
              <a:solidFill>
                <a:srgbClr val="FEF2CD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AC5C-4A2A-BFCA-CB41D856AAFC}"/>
              </c:ext>
            </c:extLst>
          </c:dPt>
          <c:dPt>
            <c:idx val="11"/>
            <c:invertIfNegative val="1"/>
            <c:bubble3D val="0"/>
            <c:spPr>
              <a:solidFill>
                <a:srgbClr val="FDE49B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C514-4C24-B867-D570729FAC98}"/>
              </c:ext>
            </c:extLst>
          </c:dPt>
          <c:dPt>
            <c:idx val="12"/>
            <c:invertIfNegative val="1"/>
            <c:bubble3D val="0"/>
            <c:spPr>
              <a:solidFill>
                <a:srgbClr val="FDD868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C514-4C24-B867-D570729FAC98}"/>
              </c:ext>
            </c:extLst>
          </c:dPt>
          <c:dPt>
            <c:idx val="13"/>
            <c:invertIfNegative val="1"/>
            <c:bubble3D val="0"/>
            <c:spPr>
              <a:solidFill>
                <a:srgbClr val="BC8E03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C514-4C24-B867-D570729FAC98}"/>
              </c:ext>
            </c:extLst>
          </c:dPt>
          <c:dPt>
            <c:idx val="14"/>
            <c:invertIfNegative val="1"/>
            <c:bubble3D val="0"/>
            <c:spPr>
              <a:solidFill>
                <a:srgbClr val="7D5F02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C514-4C24-B867-D570729FAC98}"/>
              </c:ext>
            </c:extLst>
          </c:dPt>
          <c:dPt>
            <c:idx val="15"/>
            <c:invertIfNegative val="1"/>
            <c:bubble3D val="0"/>
            <c:spPr>
              <a:solidFill>
                <a:srgbClr val="D1F1DA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C514-4C24-B867-D570729FAC98}"/>
              </c:ext>
            </c:extLst>
          </c:dPt>
          <c:dPt>
            <c:idx val="16"/>
            <c:invertIfNegative val="1"/>
            <c:bubble3D val="0"/>
            <c:spPr>
              <a:solidFill>
                <a:srgbClr val="A6E3B7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C514-4C24-B867-D570729FAC98}"/>
              </c:ext>
            </c:extLst>
          </c:dPt>
          <c:dPt>
            <c:idx val="17"/>
            <c:invertIfNegative val="1"/>
            <c:bubble3D val="0"/>
            <c:spPr>
              <a:solidFill>
                <a:srgbClr val="7AD694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C514-4C24-B867-D570729FAC98}"/>
              </c:ext>
            </c:extLst>
          </c:dPt>
          <c:dPt>
            <c:idx val="18"/>
            <c:invertIfNegative val="1"/>
            <c:bubble3D val="0"/>
            <c:spPr>
              <a:solidFill>
                <a:srgbClr val="277E40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C514-4C24-B867-D570729FAC98}"/>
              </c:ext>
            </c:extLst>
          </c:dPt>
          <c:dPt>
            <c:idx val="19"/>
            <c:invertIfNegative val="1"/>
            <c:bubble3D val="0"/>
            <c:spPr>
              <a:solidFill>
                <a:srgbClr val="1A5529"/>
              </a:solidFill>
              <a:ln w="6350" cmpd="sng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C514-4C24-B867-D570729FAC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/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Synthèse!$L$2:$M$2</c:f>
              <c:strCache>
                <c:ptCount val="2"/>
                <c:pt idx="0">
                  <c:v>M. Pierre-Yves
TIERCE</c:v>
                </c:pt>
                <c:pt idx="1">
                  <c:v>Mme Isabelle
FARNET RISSO</c:v>
                </c:pt>
              </c:strCache>
            </c:strRef>
          </c:cat>
          <c:val>
            <c:numRef>
              <c:f>Synthèse!$L$16:$M$16</c:f>
              <c:numCache>
                <c:formatCode>0.00%</c:formatCode>
                <c:ptCount val="2"/>
                <c:pt idx="0">
                  <c:v>0.46220930232558138</c:v>
                </c:pt>
                <c:pt idx="1">
                  <c:v>0.53779069767441856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6350" cmpd="sng">
                    <a:solidFill>
                      <a:schemeClr val="tx1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Synthèse!#REF!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D760-4393-B926-AF1160C07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sz="1800" b="0">
                <a:solidFill>
                  <a:srgbClr val="757575"/>
                </a:solidFill>
                <a:latin typeface="+mn-lt"/>
              </a:rPr>
              <a:t>Taux de participation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6483239154321079E-2"/>
          <c:y val="6.5015479876160992E-2"/>
          <c:w val="0.83989080979742214"/>
          <c:h val="0.84373223470905145"/>
        </c:manualLayout>
      </c:layout>
      <c:lineChart>
        <c:grouping val="standard"/>
        <c:varyColors val="1"/>
        <c:ser>
          <c:idx val="12"/>
          <c:order val="0"/>
          <c:tx>
            <c:v>Total</c:v>
          </c:tx>
          <c:spPr>
            <a:ln w="31750" cap="rnd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circle"/>
            <c:size val="7"/>
            <c:spPr>
              <a:solidFill>
                <a:srgbClr val="000000"/>
              </a:solidFill>
              <a:ln w="31750" cap="rnd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horaire'!$S$38:$S$50</c15:sqref>
                  </c15:fullRef>
                </c:ext>
              </c:extLst>
              <c:f>'Participation horaire'!$S$38:$S$48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5.6093080220453152E-2</c:v>
                </c:pt>
                <c:pt idx="2">
                  <c:v>0.12933251684017147</c:v>
                </c:pt>
                <c:pt idx="3">
                  <c:v>0.22645437844458052</c:v>
                </c:pt>
                <c:pt idx="4">
                  <c:v>0.31843233312921004</c:v>
                </c:pt>
                <c:pt idx="5">
                  <c:v>0.38493570116350273</c:v>
                </c:pt>
                <c:pt idx="6">
                  <c:v>0.42180036742192284</c:v>
                </c:pt>
                <c:pt idx="7">
                  <c:v>0.4640538885486834</c:v>
                </c:pt>
                <c:pt idx="8">
                  <c:v>0.5045927740355175</c:v>
                </c:pt>
                <c:pt idx="9">
                  <c:v>0.54439681567666875</c:v>
                </c:pt>
                <c:pt idx="10">
                  <c:v>0.56962645437844461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4E6-465A-A140-56AAFC05372E}"/>
            </c:ext>
          </c:extLst>
        </c:ser>
        <c:ser>
          <c:idx val="11"/>
          <c:order val="1"/>
          <c:tx>
            <c:v>Bureau 12</c:v>
          </c:tx>
          <c:spPr>
            <a:ln w="25400" cap="rnd" cmpd="sng" algn="ctr">
              <a:solidFill>
                <a:srgbClr val="46BDC6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horaire'!$R$38:$R$50</c15:sqref>
                  </c15:fullRef>
                </c:ext>
              </c:extLst>
              <c:f>'Participation horaire'!$R$38:$R$48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1.4684287812041116E-2</c:v>
                </c:pt>
                <c:pt idx="2">
                  <c:v>6.6079295154185022E-2</c:v>
                </c:pt>
                <c:pt idx="3">
                  <c:v>0.14390602055800295</c:v>
                </c:pt>
                <c:pt idx="4">
                  <c:v>0.23201174743024963</c:v>
                </c:pt>
                <c:pt idx="5">
                  <c:v>0.28487518355359764</c:v>
                </c:pt>
                <c:pt idx="6">
                  <c:v>0.30837004405286345</c:v>
                </c:pt>
                <c:pt idx="7">
                  <c:v>0.35095447870778268</c:v>
                </c:pt>
                <c:pt idx="8">
                  <c:v>0.38179148311306904</c:v>
                </c:pt>
                <c:pt idx="9">
                  <c:v>0.42143906020558003</c:v>
                </c:pt>
                <c:pt idx="10">
                  <c:v>0.44052863436123346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E6-465A-A140-56AAFC05372E}"/>
            </c:ext>
          </c:extLst>
        </c:ser>
        <c:ser>
          <c:idx val="10"/>
          <c:order val="2"/>
          <c:tx>
            <c:v>Bureau 11</c:v>
          </c:tx>
          <c:spPr>
            <a:ln w="25400" cap="rnd" cmpd="sng" algn="ctr">
              <a:solidFill>
                <a:srgbClr val="FF6D0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horaire'!$Q$38:$Q$50</c15:sqref>
                  </c15:fullRef>
                </c:ext>
              </c:extLst>
              <c:f>'Participation horaire'!$Q$38:$Q$48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6.2228654124457307E-2</c:v>
                </c:pt>
                <c:pt idx="2">
                  <c:v>0.1345875542691751</c:v>
                </c:pt>
                <c:pt idx="3">
                  <c:v>0.22575976845151954</c:v>
                </c:pt>
                <c:pt idx="4">
                  <c:v>0.32706222865412443</c:v>
                </c:pt>
                <c:pt idx="5">
                  <c:v>0.37626628075253254</c:v>
                </c:pt>
                <c:pt idx="6">
                  <c:v>0.43125904486251809</c:v>
                </c:pt>
                <c:pt idx="7">
                  <c:v>0.48046309696092621</c:v>
                </c:pt>
                <c:pt idx="8">
                  <c:v>0.52532561505065123</c:v>
                </c:pt>
                <c:pt idx="9">
                  <c:v>0.56005788712011573</c:v>
                </c:pt>
                <c:pt idx="10">
                  <c:v>0.58610709117221416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4E6-465A-A140-56AAFC05372E}"/>
            </c:ext>
          </c:extLst>
        </c:ser>
        <c:ser>
          <c:idx val="9"/>
          <c:order val="3"/>
          <c:tx>
            <c:v>Bureau 10</c:v>
          </c:tx>
          <c:spPr>
            <a:ln w="25400" cap="rnd" cmpd="sng" algn="ctr">
              <a:solidFill>
                <a:srgbClr val="34A853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horaire'!$P$38:$P$50</c15:sqref>
                  </c15:fullRef>
                </c:ext>
              </c:extLst>
              <c:f>'Participation horaire'!$P$38:$P$48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4.9261083743842367E-2</c:v>
                </c:pt>
                <c:pt idx="2">
                  <c:v>0.13793103448275862</c:v>
                </c:pt>
                <c:pt idx="3">
                  <c:v>0.24630541871921183</c:v>
                </c:pt>
                <c:pt idx="4">
                  <c:v>0.36124794745484401</c:v>
                </c:pt>
                <c:pt idx="5">
                  <c:v>0.44334975369458129</c:v>
                </c:pt>
                <c:pt idx="6">
                  <c:v>0.46305418719211822</c:v>
                </c:pt>
                <c:pt idx="7">
                  <c:v>0.50082101806239743</c:v>
                </c:pt>
                <c:pt idx="8">
                  <c:v>0.5336617405582923</c:v>
                </c:pt>
                <c:pt idx="9">
                  <c:v>0.56650246305418717</c:v>
                </c:pt>
                <c:pt idx="10">
                  <c:v>0.58620689655172409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E6-465A-A140-56AAFC05372E}"/>
            </c:ext>
          </c:extLst>
        </c:ser>
        <c:ser>
          <c:idx val="8"/>
          <c:order val="4"/>
          <c:tx>
            <c:v>Bureau 9</c:v>
          </c:tx>
          <c:spPr>
            <a:ln w="25400" cap="rnd" cmpd="sng" algn="ctr">
              <a:solidFill>
                <a:srgbClr val="FBBC0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horaire'!$O$38:$O$50</c15:sqref>
                  </c15:fullRef>
                </c:ext>
              </c:extLst>
              <c:f>'Participation horaire'!$O$38:$O$48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4.9295774647887321E-2</c:v>
                </c:pt>
                <c:pt idx="2">
                  <c:v>9.8591549295774641E-2</c:v>
                </c:pt>
                <c:pt idx="3">
                  <c:v>0.17887323943661973</c:v>
                </c:pt>
                <c:pt idx="4">
                  <c:v>0.25352112676056338</c:v>
                </c:pt>
                <c:pt idx="5">
                  <c:v>0.3</c:v>
                </c:pt>
                <c:pt idx="6">
                  <c:v>0.3380281690140845</c:v>
                </c:pt>
                <c:pt idx="7">
                  <c:v>0.37183098591549296</c:v>
                </c:pt>
                <c:pt idx="8">
                  <c:v>0.41408450704225352</c:v>
                </c:pt>
                <c:pt idx="9">
                  <c:v>0.45070422535211269</c:v>
                </c:pt>
                <c:pt idx="10">
                  <c:v>0.46619718309859154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4E6-465A-A140-56AAFC05372E}"/>
            </c:ext>
          </c:extLst>
        </c:ser>
        <c:ser>
          <c:idx val="7"/>
          <c:order val="5"/>
          <c:tx>
            <c:v>Bureau 8</c:v>
          </c:tx>
          <c:spPr>
            <a:ln w="25400" cap="rnd" cmpd="sng" algn="ctr">
              <a:solidFill>
                <a:srgbClr val="EA4335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horaire'!$N$38:$N$50</c15:sqref>
                  </c15:fullRef>
                </c:ext>
              </c:extLst>
              <c:f>'Participation horaire'!$N$38:$N$48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6.2015503875968991E-2</c:v>
                </c:pt>
                <c:pt idx="2">
                  <c:v>0.14263565891472868</c:v>
                </c:pt>
                <c:pt idx="3">
                  <c:v>0.22635658914728682</c:v>
                </c:pt>
                <c:pt idx="4">
                  <c:v>0.32868217054263565</c:v>
                </c:pt>
                <c:pt idx="5">
                  <c:v>0.413953488372093</c:v>
                </c:pt>
                <c:pt idx="6">
                  <c:v>0.45581395348837211</c:v>
                </c:pt>
                <c:pt idx="7">
                  <c:v>0.49147286821705427</c:v>
                </c:pt>
                <c:pt idx="8">
                  <c:v>0.51162790697674421</c:v>
                </c:pt>
                <c:pt idx="9">
                  <c:v>0.55193798449612408</c:v>
                </c:pt>
                <c:pt idx="10">
                  <c:v>0.5612403100775194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E6-465A-A140-56AAFC05372E}"/>
            </c:ext>
          </c:extLst>
        </c:ser>
        <c:ser>
          <c:idx val="6"/>
          <c:order val="6"/>
          <c:tx>
            <c:v>Bureau 7</c:v>
          </c:tx>
          <c:spPr>
            <a:ln w="25400" cap="rnd" cmpd="sng" algn="ctr">
              <a:solidFill>
                <a:srgbClr val="4285F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horaire'!$M$38:$M$50</c15:sqref>
                  </c15:fullRef>
                </c:ext>
              </c:extLst>
              <c:f>'Participation horaire'!$M$38:$M$48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4.1039671682626538E-2</c:v>
                </c:pt>
                <c:pt idx="2">
                  <c:v>0.12311901504787962</c:v>
                </c:pt>
                <c:pt idx="3">
                  <c:v>0.2188782489740082</c:v>
                </c:pt>
                <c:pt idx="4">
                  <c:v>0.31463748290013682</c:v>
                </c:pt>
                <c:pt idx="5">
                  <c:v>0.38303693570451436</c:v>
                </c:pt>
                <c:pt idx="6">
                  <c:v>0.42407660738714092</c:v>
                </c:pt>
                <c:pt idx="7">
                  <c:v>0.45143638850889195</c:v>
                </c:pt>
                <c:pt idx="8">
                  <c:v>0.51299589603283169</c:v>
                </c:pt>
                <c:pt idx="9">
                  <c:v>0.560875512995896</c:v>
                </c:pt>
                <c:pt idx="10">
                  <c:v>0.58823529411764708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4E6-465A-A140-56AAFC05372E}"/>
            </c:ext>
          </c:extLst>
        </c:ser>
        <c:ser>
          <c:idx val="5"/>
          <c:order val="7"/>
          <c:tx>
            <c:v>Bureau 6</c:v>
          </c:tx>
          <c:spPr>
            <a:ln w="25400" cap="rnd" cmpd="sng" algn="ctr">
              <a:solidFill>
                <a:srgbClr val="46BDC6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horaire'!$L$38:$L$50</c15:sqref>
                  </c15:fullRef>
                </c:ext>
              </c:extLst>
              <c:f>'Participation horaire'!$L$38:$L$48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6.7605633802816895E-2</c:v>
                </c:pt>
                <c:pt idx="2">
                  <c:v>0.14084507042253522</c:v>
                </c:pt>
                <c:pt idx="3">
                  <c:v>0.21971830985915494</c:v>
                </c:pt>
                <c:pt idx="4">
                  <c:v>0.3</c:v>
                </c:pt>
                <c:pt idx="5">
                  <c:v>0.36338028169014086</c:v>
                </c:pt>
                <c:pt idx="6">
                  <c:v>0.4</c:v>
                </c:pt>
                <c:pt idx="7">
                  <c:v>0.45070422535211269</c:v>
                </c:pt>
                <c:pt idx="8">
                  <c:v>0.47887323943661969</c:v>
                </c:pt>
                <c:pt idx="9">
                  <c:v>0.50985915492957745</c:v>
                </c:pt>
                <c:pt idx="10">
                  <c:v>0.53521126760563376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E6-465A-A140-56AAFC05372E}"/>
            </c:ext>
          </c:extLst>
        </c:ser>
        <c:ser>
          <c:idx val="4"/>
          <c:order val="8"/>
          <c:tx>
            <c:v>Bureau 5</c:v>
          </c:tx>
          <c:spPr>
            <a:ln w="25400" cap="rnd" cmpd="sng" algn="ctr">
              <a:solidFill>
                <a:srgbClr val="FF6D0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horaire'!$K$38:$K$50</c15:sqref>
                  </c15:fullRef>
                </c:ext>
              </c:extLst>
              <c:f>'Participation horaire'!$K$38:$K$48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6.4194008559201141E-2</c:v>
                </c:pt>
                <c:pt idx="2">
                  <c:v>0.15691868758915833</c:v>
                </c:pt>
                <c:pt idx="3">
                  <c:v>0.28530670470756064</c:v>
                </c:pt>
                <c:pt idx="4">
                  <c:v>0.38659058487874465</c:v>
                </c:pt>
                <c:pt idx="5">
                  <c:v>0.47218259629101283</c:v>
                </c:pt>
                <c:pt idx="6">
                  <c:v>0.50641940085592008</c:v>
                </c:pt>
                <c:pt idx="7">
                  <c:v>0.55634807417974319</c:v>
                </c:pt>
                <c:pt idx="8">
                  <c:v>0.59914407988587737</c:v>
                </c:pt>
                <c:pt idx="9">
                  <c:v>0.63766048502139805</c:v>
                </c:pt>
                <c:pt idx="10">
                  <c:v>0.67760342368045645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E6-465A-A140-56AAFC05372E}"/>
            </c:ext>
          </c:extLst>
        </c:ser>
        <c:ser>
          <c:idx val="3"/>
          <c:order val="9"/>
          <c:tx>
            <c:v>Bureau 4</c:v>
          </c:tx>
          <c:spPr>
            <a:ln w="25400" cap="rnd" cmpd="sng" algn="ctr">
              <a:solidFill>
                <a:srgbClr val="34A853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horaire'!$J$38:$J$50</c15:sqref>
                  </c15:fullRef>
                </c:ext>
              </c:extLst>
              <c:f>'Participation horaire'!$J$38:$J$48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6.4801178203240065E-2</c:v>
                </c:pt>
                <c:pt idx="2">
                  <c:v>0.16200294550810015</c:v>
                </c:pt>
                <c:pt idx="3">
                  <c:v>0.26951399116347569</c:v>
                </c:pt>
                <c:pt idx="4">
                  <c:v>0.32400589101620031</c:v>
                </c:pt>
                <c:pt idx="5">
                  <c:v>0.38291605301914583</c:v>
                </c:pt>
                <c:pt idx="6">
                  <c:v>0.43446244477172313</c:v>
                </c:pt>
                <c:pt idx="7">
                  <c:v>0.48159057437407954</c:v>
                </c:pt>
                <c:pt idx="8">
                  <c:v>0.50662739322533135</c:v>
                </c:pt>
                <c:pt idx="9">
                  <c:v>0.540500736377025</c:v>
                </c:pt>
                <c:pt idx="10">
                  <c:v>0.5625920471281296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E6-465A-A140-56AAFC05372E}"/>
            </c:ext>
          </c:extLst>
        </c:ser>
        <c:ser>
          <c:idx val="2"/>
          <c:order val="10"/>
          <c:tx>
            <c:v>Bureau 3</c:v>
          </c:tx>
          <c:spPr>
            <a:ln w="25400" cap="rnd" cmpd="sng" algn="ctr">
              <a:solidFill>
                <a:srgbClr val="FBBC0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horaire'!$I$38:$I$50</c15:sqref>
                  </c15:fullRef>
                </c:ext>
              </c:extLst>
              <c:f>'Participation horaire'!$I$38:$I$48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7.0028011204481794E-2</c:v>
                </c:pt>
                <c:pt idx="2">
                  <c:v>0.14005602240896359</c:v>
                </c:pt>
                <c:pt idx="3">
                  <c:v>0.25210084033613445</c:v>
                </c:pt>
                <c:pt idx="4">
                  <c:v>0.36414565826330531</c:v>
                </c:pt>
                <c:pt idx="5">
                  <c:v>0.43417366946778713</c:v>
                </c:pt>
                <c:pt idx="6">
                  <c:v>0.46218487394957986</c:v>
                </c:pt>
                <c:pt idx="7">
                  <c:v>0.51820728291316531</c:v>
                </c:pt>
                <c:pt idx="8">
                  <c:v>0.58823529411764708</c:v>
                </c:pt>
                <c:pt idx="9">
                  <c:v>0.64425770308123254</c:v>
                </c:pt>
                <c:pt idx="10">
                  <c:v>0.67226890756302526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E6-465A-A140-56AAFC05372E}"/>
            </c:ext>
          </c:extLst>
        </c:ser>
        <c:ser>
          <c:idx val="1"/>
          <c:order val="11"/>
          <c:tx>
            <c:v>Bureau 2</c:v>
          </c:tx>
          <c:spPr>
            <a:ln w="25400" cap="rnd" cmpd="sng" algn="ctr">
              <a:solidFill>
                <a:srgbClr val="EA4335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horaire'!$H$38:$H$50</c15:sqref>
                  </c15:fullRef>
                </c:ext>
              </c:extLst>
              <c:f>'Participation horaire'!$H$38:$H$48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6.7567567567567571E-2</c:v>
                </c:pt>
                <c:pt idx="2">
                  <c:v>0.12162162162162163</c:v>
                </c:pt>
                <c:pt idx="3">
                  <c:v>0.22972972972972974</c:v>
                </c:pt>
                <c:pt idx="4">
                  <c:v>0.3108108108108108</c:v>
                </c:pt>
                <c:pt idx="5">
                  <c:v>0.38918918918918921</c:v>
                </c:pt>
                <c:pt idx="6">
                  <c:v>0.42432432432432432</c:v>
                </c:pt>
                <c:pt idx="7">
                  <c:v>0.45945945945945948</c:v>
                </c:pt>
                <c:pt idx="8">
                  <c:v>0.5</c:v>
                </c:pt>
                <c:pt idx="9">
                  <c:v>0.54324324324324325</c:v>
                </c:pt>
                <c:pt idx="10">
                  <c:v>0.58513513513513515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E6-465A-A140-56AAFC05372E}"/>
            </c:ext>
          </c:extLst>
        </c:ser>
        <c:ser>
          <c:idx val="0"/>
          <c:order val="12"/>
          <c:tx>
            <c:v>Bureau 1</c:v>
          </c:tx>
          <c:spPr>
            <a:ln w="25400" cap="rnd" cmpd="sng" algn="ctr">
              <a:solidFill>
                <a:srgbClr val="4285F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horaire'!$G$38:$G$50</c15:sqref>
                  </c15:fullRef>
                </c:ext>
              </c:extLst>
              <c:f>'Participation horaire'!$G$38:$G$48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5.9566787003610108E-2</c:v>
                </c:pt>
                <c:pt idx="2">
                  <c:v>0.1299638989169675</c:v>
                </c:pt>
                <c:pt idx="3">
                  <c:v>0.22202166064981949</c:v>
                </c:pt>
                <c:pt idx="4">
                  <c:v>0.32490974729241878</c:v>
                </c:pt>
                <c:pt idx="5">
                  <c:v>0.38267148014440433</c:v>
                </c:pt>
                <c:pt idx="6">
                  <c:v>0.41877256317689532</c:v>
                </c:pt>
                <c:pt idx="7">
                  <c:v>0.46028880866425992</c:v>
                </c:pt>
                <c:pt idx="8">
                  <c:v>0.50361010830324915</c:v>
                </c:pt>
                <c:pt idx="9">
                  <c:v>0.54512635379061369</c:v>
                </c:pt>
                <c:pt idx="10">
                  <c:v>0.5703971119133574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6-465A-A140-56AAFC05372E}"/>
            </c:ext>
          </c:extLst>
        </c:ser>
        <c:ser>
          <c:idx val="13"/>
          <c:order val="13"/>
          <c:tx>
            <c:v>Total - 1er tour</c:v>
          </c:tx>
          <c:spPr>
            <a:ln w="31750" cap="rnd" cmpd="sng" algn="ctr">
              <a:solidFill>
                <a:srgbClr val="404040">
                  <a:alpha val="50000"/>
                </a:srgbClr>
              </a:solidFill>
              <a:prstDash val="dash"/>
              <a:round/>
              <a:headEnd type="none" w="med" len="med"/>
              <a:tailEnd type="none" w="med" len="med"/>
            </a:ln>
          </c:spPr>
          <c:marker>
            <c:symbol val="circle"/>
            <c:size val="7"/>
            <c:spPr>
              <a:solidFill>
                <a:schemeClr val="bg1">
                  <a:lumMod val="50000"/>
                  <a:alpha val="80000"/>
                </a:schemeClr>
              </a:solidFill>
              <a:ln w="31750" cap="rnd" cmpd="sng" algn="ctr">
                <a:solidFill>
                  <a:srgbClr val="404040">
                    <a:alpha val="50000"/>
                  </a:srgbClr>
                </a:solidFill>
                <a:prstDash val="dash"/>
                <a:round/>
                <a:headEnd type="none" w="med" len="med"/>
                <a:tailEnd type="none" w="med" len="me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horaire'!$T$38:$T$50</c15:sqref>
                  </c15:fullRef>
                </c:ext>
              </c:extLst>
              <c:f>'Participation horaire'!$T$38:$T$48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horaire'!$AG$38:$AG$50</c15:sqref>
                  </c15:fullRef>
                </c:ext>
              </c:extLst>
              <c:f>'Participation horaire'!$AG$38:$AG$48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4.8272482234746387E-2</c:v>
                </c:pt>
                <c:pt idx="2">
                  <c:v>0.11455525606469003</c:v>
                </c:pt>
                <c:pt idx="3">
                  <c:v>0.20779220779220781</c:v>
                </c:pt>
                <c:pt idx="4">
                  <c:v>0.30531732418524871</c:v>
                </c:pt>
                <c:pt idx="5">
                  <c:v>0.36535162950257288</c:v>
                </c:pt>
                <c:pt idx="6">
                  <c:v>0.4164420485175202</c:v>
                </c:pt>
                <c:pt idx="7">
                  <c:v>0.47096299926488605</c:v>
                </c:pt>
                <c:pt idx="8">
                  <c:v>0.5204606714040676</c:v>
                </c:pt>
                <c:pt idx="9">
                  <c:v>0.54949767213918155</c:v>
                </c:pt>
                <c:pt idx="10">
                  <c:v>0.57363391325655477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381-4D9C-87CD-6FB0CF0F0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  <c:extLst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Affluence horaire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6483239154321079E-2"/>
          <c:y val="6.5015479876160992E-2"/>
          <c:w val="0.83989080979742214"/>
          <c:h val="0.84373223470905145"/>
        </c:manualLayout>
      </c:layout>
      <c:barChart>
        <c:barDir val="col"/>
        <c:grouping val="clustered"/>
        <c:varyColors val="1"/>
        <c:ser>
          <c:idx val="12"/>
          <c:order val="1"/>
          <c:tx>
            <c:strRef>
              <c:f>'Participation horaire'!$G$53</c:f>
              <c:strCache>
                <c:ptCount val="1"/>
                <c:pt idx="0">
                  <c:v>Bureau 1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horaire'!$G$54:$G$63</c:f>
              <c:numCache>
                <c:formatCode>General</c:formatCode>
                <c:ptCount val="10"/>
                <c:pt idx="0">
                  <c:v>33</c:v>
                </c:pt>
                <c:pt idx="1">
                  <c:v>39</c:v>
                </c:pt>
                <c:pt idx="2">
                  <c:v>51</c:v>
                </c:pt>
                <c:pt idx="3">
                  <c:v>57</c:v>
                </c:pt>
                <c:pt idx="4">
                  <c:v>32</c:v>
                </c:pt>
                <c:pt idx="5">
                  <c:v>20</c:v>
                </c:pt>
                <c:pt idx="6">
                  <c:v>23</c:v>
                </c:pt>
                <c:pt idx="7">
                  <c:v>24</c:v>
                </c:pt>
                <c:pt idx="8">
                  <c:v>23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1-47A9-AAA9-4D8BFF0DF9E1}"/>
            </c:ext>
          </c:extLst>
        </c:ser>
        <c:ser>
          <c:idx val="11"/>
          <c:order val="2"/>
          <c:tx>
            <c:strRef>
              <c:f>'Participation horaire'!$H$53</c:f>
              <c:strCache>
                <c:ptCount val="1"/>
                <c:pt idx="0">
                  <c:v>Bureau 2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horaire'!$H$54:$H$63</c:f>
              <c:numCache>
                <c:formatCode>General</c:formatCode>
                <c:ptCount val="10"/>
                <c:pt idx="0">
                  <c:v>50</c:v>
                </c:pt>
                <c:pt idx="1">
                  <c:v>40</c:v>
                </c:pt>
                <c:pt idx="2">
                  <c:v>80</c:v>
                </c:pt>
                <c:pt idx="3">
                  <c:v>60</c:v>
                </c:pt>
                <c:pt idx="4">
                  <c:v>58</c:v>
                </c:pt>
                <c:pt idx="5">
                  <c:v>26</c:v>
                </c:pt>
                <c:pt idx="6">
                  <c:v>26</c:v>
                </c:pt>
                <c:pt idx="7">
                  <c:v>30</c:v>
                </c:pt>
                <c:pt idx="8">
                  <c:v>32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71-47A9-AAA9-4D8BFF0DF9E1}"/>
            </c:ext>
          </c:extLst>
        </c:ser>
        <c:ser>
          <c:idx val="10"/>
          <c:order val="3"/>
          <c:tx>
            <c:strRef>
              <c:f>'Participation horaire'!$I$53</c:f>
              <c:strCache>
                <c:ptCount val="1"/>
                <c:pt idx="0">
                  <c:v>Bureau 3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horaire'!$I$54:$I$63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50</c:v>
                </c:pt>
                <c:pt idx="5">
                  <c:v>20</c:v>
                </c:pt>
                <c:pt idx="6">
                  <c:v>40</c:v>
                </c:pt>
                <c:pt idx="7">
                  <c:v>50</c:v>
                </c:pt>
                <c:pt idx="8">
                  <c:v>40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71-47A9-AAA9-4D8BFF0DF9E1}"/>
            </c:ext>
          </c:extLst>
        </c:ser>
        <c:ser>
          <c:idx val="9"/>
          <c:order val="4"/>
          <c:tx>
            <c:strRef>
              <c:f>'Participation horaire'!$J$53</c:f>
              <c:strCache>
                <c:ptCount val="1"/>
                <c:pt idx="0">
                  <c:v>Bureau 4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horaire'!$J$54:$J$63</c:f>
              <c:numCache>
                <c:formatCode>General</c:formatCode>
                <c:ptCount val="10"/>
                <c:pt idx="0">
                  <c:v>44</c:v>
                </c:pt>
                <c:pt idx="1">
                  <c:v>66</c:v>
                </c:pt>
                <c:pt idx="2">
                  <c:v>73</c:v>
                </c:pt>
                <c:pt idx="3">
                  <c:v>37</c:v>
                </c:pt>
                <c:pt idx="4">
                  <c:v>40</c:v>
                </c:pt>
                <c:pt idx="5">
                  <c:v>35</c:v>
                </c:pt>
                <c:pt idx="6">
                  <c:v>32</c:v>
                </c:pt>
                <c:pt idx="7">
                  <c:v>17</c:v>
                </c:pt>
                <c:pt idx="8">
                  <c:v>23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71-47A9-AAA9-4D8BFF0DF9E1}"/>
            </c:ext>
          </c:extLst>
        </c:ser>
        <c:ser>
          <c:idx val="8"/>
          <c:order val="5"/>
          <c:tx>
            <c:strRef>
              <c:f>'Participation horaire'!$K$53</c:f>
              <c:strCache>
                <c:ptCount val="1"/>
                <c:pt idx="0">
                  <c:v>Bureau 5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horaire'!$K$54:$K$63</c:f>
              <c:numCache>
                <c:formatCode>General</c:formatCode>
                <c:ptCount val="10"/>
                <c:pt idx="0">
                  <c:v>45</c:v>
                </c:pt>
                <c:pt idx="1">
                  <c:v>65</c:v>
                </c:pt>
                <c:pt idx="2">
                  <c:v>90</c:v>
                </c:pt>
                <c:pt idx="3">
                  <c:v>71</c:v>
                </c:pt>
                <c:pt idx="4">
                  <c:v>60</c:v>
                </c:pt>
                <c:pt idx="5">
                  <c:v>24</c:v>
                </c:pt>
                <c:pt idx="6">
                  <c:v>35</c:v>
                </c:pt>
                <c:pt idx="7">
                  <c:v>30</c:v>
                </c:pt>
                <c:pt idx="8">
                  <c:v>27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71-47A9-AAA9-4D8BFF0DF9E1}"/>
            </c:ext>
          </c:extLst>
        </c:ser>
        <c:ser>
          <c:idx val="7"/>
          <c:order val="6"/>
          <c:tx>
            <c:strRef>
              <c:f>'Participation horaire'!$L$53</c:f>
              <c:strCache>
                <c:ptCount val="1"/>
                <c:pt idx="0">
                  <c:v>Bureau 6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horaire'!$L$54:$L$63</c:f>
              <c:numCache>
                <c:formatCode>General</c:formatCode>
                <c:ptCount val="10"/>
                <c:pt idx="0">
                  <c:v>48</c:v>
                </c:pt>
                <c:pt idx="1">
                  <c:v>52</c:v>
                </c:pt>
                <c:pt idx="2">
                  <c:v>56</c:v>
                </c:pt>
                <c:pt idx="3">
                  <c:v>57</c:v>
                </c:pt>
                <c:pt idx="4">
                  <c:v>45</c:v>
                </c:pt>
                <c:pt idx="5">
                  <c:v>26</c:v>
                </c:pt>
                <c:pt idx="6">
                  <c:v>36</c:v>
                </c:pt>
                <c:pt idx="7">
                  <c:v>20</c:v>
                </c:pt>
                <c:pt idx="8">
                  <c:v>22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71-47A9-AAA9-4D8BFF0DF9E1}"/>
            </c:ext>
          </c:extLst>
        </c:ser>
        <c:ser>
          <c:idx val="6"/>
          <c:order val="7"/>
          <c:tx>
            <c:strRef>
              <c:f>'Participation horaire'!$M$53</c:f>
              <c:strCache>
                <c:ptCount val="1"/>
                <c:pt idx="0">
                  <c:v>Bureau 7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horaire'!$M$54:$M$63</c:f>
              <c:numCache>
                <c:formatCode>General</c:formatCode>
                <c:ptCount val="10"/>
                <c:pt idx="0">
                  <c:v>30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50</c:v>
                </c:pt>
                <c:pt idx="5">
                  <c:v>30</c:v>
                </c:pt>
                <c:pt idx="6">
                  <c:v>20</c:v>
                </c:pt>
                <c:pt idx="7">
                  <c:v>45</c:v>
                </c:pt>
                <c:pt idx="8">
                  <c:v>35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71-47A9-AAA9-4D8BFF0DF9E1}"/>
            </c:ext>
          </c:extLst>
        </c:ser>
        <c:ser>
          <c:idx val="5"/>
          <c:order val="8"/>
          <c:tx>
            <c:strRef>
              <c:f>'Participation horaire'!$N$53</c:f>
              <c:strCache>
                <c:ptCount val="1"/>
                <c:pt idx="0">
                  <c:v>Bureau 8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horaire'!$N$54:$N$63</c:f>
              <c:numCache>
                <c:formatCode>General</c:formatCode>
                <c:ptCount val="10"/>
                <c:pt idx="0">
                  <c:v>40</c:v>
                </c:pt>
                <c:pt idx="1">
                  <c:v>52</c:v>
                </c:pt>
                <c:pt idx="2">
                  <c:v>54</c:v>
                </c:pt>
                <c:pt idx="3">
                  <c:v>66</c:v>
                </c:pt>
                <c:pt idx="4">
                  <c:v>55</c:v>
                </c:pt>
                <c:pt idx="5">
                  <c:v>27</c:v>
                </c:pt>
                <c:pt idx="6">
                  <c:v>23</c:v>
                </c:pt>
                <c:pt idx="7">
                  <c:v>13</c:v>
                </c:pt>
                <c:pt idx="8">
                  <c:v>26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71-47A9-AAA9-4D8BFF0DF9E1}"/>
            </c:ext>
          </c:extLst>
        </c:ser>
        <c:ser>
          <c:idx val="4"/>
          <c:order val="9"/>
          <c:tx>
            <c:strRef>
              <c:f>'Participation horaire'!$O$53</c:f>
              <c:strCache>
                <c:ptCount val="1"/>
                <c:pt idx="0">
                  <c:v>Bureau 9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horaire'!$O$54:$O$63</c:f>
              <c:numCache>
                <c:formatCode>General</c:formatCode>
                <c:ptCount val="10"/>
                <c:pt idx="0">
                  <c:v>35</c:v>
                </c:pt>
                <c:pt idx="1">
                  <c:v>35</c:v>
                </c:pt>
                <c:pt idx="2">
                  <c:v>57</c:v>
                </c:pt>
                <c:pt idx="3">
                  <c:v>53</c:v>
                </c:pt>
                <c:pt idx="4">
                  <c:v>33</c:v>
                </c:pt>
                <c:pt idx="5">
                  <c:v>27</c:v>
                </c:pt>
                <c:pt idx="6">
                  <c:v>24</c:v>
                </c:pt>
                <c:pt idx="7">
                  <c:v>30</c:v>
                </c:pt>
                <c:pt idx="8">
                  <c:v>26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71-47A9-AAA9-4D8BFF0DF9E1}"/>
            </c:ext>
          </c:extLst>
        </c:ser>
        <c:ser>
          <c:idx val="3"/>
          <c:order val="10"/>
          <c:tx>
            <c:strRef>
              <c:f>'Participation horaire'!$P$53</c:f>
              <c:strCache>
                <c:ptCount val="1"/>
                <c:pt idx="0">
                  <c:v>Bureau 10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horaire'!$P$54:$P$63</c:f>
              <c:numCache>
                <c:formatCode>General</c:formatCode>
                <c:ptCount val="10"/>
                <c:pt idx="0">
                  <c:v>30</c:v>
                </c:pt>
                <c:pt idx="1">
                  <c:v>54</c:v>
                </c:pt>
                <c:pt idx="2">
                  <c:v>66</c:v>
                </c:pt>
                <c:pt idx="3">
                  <c:v>70</c:v>
                </c:pt>
                <c:pt idx="4">
                  <c:v>50</c:v>
                </c:pt>
                <c:pt idx="5">
                  <c:v>12</c:v>
                </c:pt>
                <c:pt idx="6">
                  <c:v>23</c:v>
                </c:pt>
                <c:pt idx="7">
                  <c:v>20</c:v>
                </c:pt>
                <c:pt idx="8">
                  <c:v>20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71-47A9-AAA9-4D8BFF0DF9E1}"/>
            </c:ext>
          </c:extLst>
        </c:ser>
        <c:ser>
          <c:idx val="2"/>
          <c:order val="11"/>
          <c:tx>
            <c:strRef>
              <c:f>'Participation horaire'!$Q$53</c:f>
              <c:strCache>
                <c:ptCount val="1"/>
                <c:pt idx="0">
                  <c:v>Bureau 11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horaire'!$Q$54:$Q$63</c:f>
              <c:numCache>
                <c:formatCode>General</c:formatCode>
                <c:ptCount val="10"/>
                <c:pt idx="0">
                  <c:v>43</c:v>
                </c:pt>
                <c:pt idx="1">
                  <c:v>50</c:v>
                </c:pt>
                <c:pt idx="2">
                  <c:v>63</c:v>
                </c:pt>
                <c:pt idx="3">
                  <c:v>70</c:v>
                </c:pt>
                <c:pt idx="4">
                  <c:v>34</c:v>
                </c:pt>
                <c:pt idx="5">
                  <c:v>38</c:v>
                </c:pt>
                <c:pt idx="6">
                  <c:v>34</c:v>
                </c:pt>
                <c:pt idx="7">
                  <c:v>31</c:v>
                </c:pt>
                <c:pt idx="8">
                  <c:v>24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71-47A9-AAA9-4D8BFF0DF9E1}"/>
            </c:ext>
          </c:extLst>
        </c:ser>
        <c:ser>
          <c:idx val="1"/>
          <c:order val="12"/>
          <c:tx>
            <c:strRef>
              <c:f>'Participation horaire'!$R$53</c:f>
              <c:strCache>
                <c:ptCount val="1"/>
                <c:pt idx="0">
                  <c:v>Bureau 12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horaire'!$R$54:$R$63</c:f>
              <c:numCache>
                <c:formatCode>General</c:formatCode>
                <c:ptCount val="10"/>
                <c:pt idx="0">
                  <c:v>10</c:v>
                </c:pt>
                <c:pt idx="1">
                  <c:v>35</c:v>
                </c:pt>
                <c:pt idx="2">
                  <c:v>53</c:v>
                </c:pt>
                <c:pt idx="3">
                  <c:v>60</c:v>
                </c:pt>
                <c:pt idx="4">
                  <c:v>36</c:v>
                </c:pt>
                <c:pt idx="5">
                  <c:v>16</c:v>
                </c:pt>
                <c:pt idx="6">
                  <c:v>29</c:v>
                </c:pt>
                <c:pt idx="7">
                  <c:v>21</c:v>
                </c:pt>
                <c:pt idx="8">
                  <c:v>27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71-47A9-AAA9-4D8BFF0DF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lineChart>
        <c:grouping val="standard"/>
        <c:varyColors val="1"/>
        <c:ser>
          <c:idx val="0"/>
          <c:order val="0"/>
          <c:tx>
            <c:strRef>
              <c:f>'Participation horaire'!$S$53</c:f>
              <c:strCache>
                <c:ptCount val="1"/>
                <c:pt idx="0">
                  <c:v>Total</c:v>
                </c:pt>
              </c:strCache>
            </c:strRef>
          </c:tx>
          <c:spPr>
            <a:ln w="44450" cap="rnd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horaire'!$S$54:$S$63</c:f>
              <c:numCache>
                <c:formatCode>General</c:formatCode>
                <c:ptCount val="10"/>
                <c:pt idx="0">
                  <c:v>458</c:v>
                </c:pt>
                <c:pt idx="1">
                  <c:v>598</c:v>
                </c:pt>
                <c:pt idx="2">
                  <c:v>793</c:v>
                </c:pt>
                <c:pt idx="3">
                  <c:v>751</c:v>
                </c:pt>
                <c:pt idx="4">
                  <c:v>543</c:v>
                </c:pt>
                <c:pt idx="5">
                  <c:v>301</c:v>
                </c:pt>
                <c:pt idx="6">
                  <c:v>345</c:v>
                </c:pt>
                <c:pt idx="7">
                  <c:v>331</c:v>
                </c:pt>
                <c:pt idx="8">
                  <c:v>325</c:v>
                </c:pt>
                <c:pt idx="9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71-47A9-AAA9-4D8BFF0DF9E1}"/>
            </c:ext>
          </c:extLst>
        </c:ser>
        <c:ser>
          <c:idx val="13"/>
          <c:order val="13"/>
          <c:tx>
            <c:v>1er tour</c:v>
          </c:tx>
          <c:spPr>
            <a:ln w="31750">
              <a:solidFill>
                <a:schemeClr val="bg1">
                  <a:lumMod val="50000"/>
                </a:schemeClr>
              </a:solidFill>
              <a:prstDash val="dash"/>
            </a:ln>
          </c:spPr>
          <c:marker>
            <c:symbol val="none"/>
          </c:marker>
          <c:dPt>
            <c:idx val="9"/>
            <c:bubble3D val="0"/>
            <c:spPr>
              <a:ln w="31750">
                <a:solidFill>
                  <a:schemeClr val="bg1">
                    <a:lumMod val="50000"/>
                    <a:alpha val="6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1-4409-4024-A379-ED44EFC990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>
                        <a:alpha val="60000"/>
                      </a:schemeClr>
                    </a:solidFill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horaire'!$AG$54:$AG$63</c:f>
              <c:numCache>
                <c:formatCode>General</c:formatCode>
                <c:ptCount val="10"/>
                <c:pt idx="0">
                  <c:v>394</c:v>
                </c:pt>
                <c:pt idx="1">
                  <c:v>545</c:v>
                </c:pt>
                <c:pt idx="2">
                  <c:v>757</c:v>
                </c:pt>
                <c:pt idx="3">
                  <c:v>796</c:v>
                </c:pt>
                <c:pt idx="4">
                  <c:v>470</c:v>
                </c:pt>
                <c:pt idx="5">
                  <c:v>437</c:v>
                </c:pt>
                <c:pt idx="6">
                  <c:v>445</c:v>
                </c:pt>
                <c:pt idx="7">
                  <c:v>404</c:v>
                </c:pt>
                <c:pt idx="8">
                  <c:v>237</c:v>
                </c:pt>
                <c:pt idx="9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9-4024-A379-ED44EFC99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557040"/>
        <c:axId val="1797558000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  <c:valAx>
        <c:axId val="179755800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/>
        </c:spPr>
        <c:crossAx val="1797557040"/>
        <c:crosses val="max"/>
        <c:crossBetween val="between"/>
      </c:valAx>
      <c:catAx>
        <c:axId val="1797557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7558000"/>
        <c:crosses val="autoZero"/>
        <c:auto val="1"/>
        <c:lblAlgn val="ctr"/>
        <c:lblOffset val="100"/>
        <c:noMultiLvlLbl val="0"/>
      </c:catAx>
    </c:plotArea>
    <c:legend>
      <c:legendPos val="r"/>
      <c:overlay val="0"/>
      <c:spPr>
        <a:ln>
          <a:solidFill>
            <a:srgbClr val="000000">
              <a:alpha val="50000"/>
            </a:srgbClr>
          </a:solidFill>
        </a:ln>
      </c:spPr>
    </c:legend>
    <c:plotVisOnly val="1"/>
    <c:dispBlanksAs val="zero"/>
    <c:showDLblsOverMax val="1"/>
    <c:extLst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1 - Ecole Chabaud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1'!$D$13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42-4DD3-9B1C-AAF51A3C6883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42-4DD3-9B1C-AAF51A3C6883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42-4DD3-9B1C-AAF51A3C6883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142-4DD3-9B1C-AAF51A3C6883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142-4DD3-9B1C-AAF51A3C6883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142-4DD3-9B1C-AAF51A3C6883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142-4DD3-9B1C-AAF51A3C6883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142-4DD3-9B1C-AAF51A3C6883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142-4DD3-9B1C-AAF51A3C6883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142-4DD3-9B1C-AAF51A3C6883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142-4DD3-9B1C-AAF51A3C6883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142-4DD3-9B1C-AAF51A3C6883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142-4DD3-9B1C-AAF51A3C6883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1142-4DD3-9B1C-AAF51A3C6883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1142-4DD3-9B1C-AAF51A3C6883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142-4DD3-9B1C-AAF51A3C6883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1142-4DD3-9B1C-AAF51A3C6883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1142-4DD3-9B1C-AAF51A3C6883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1142-4DD3-9B1C-AAF51A3C6883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1142-4DD3-9B1C-AAF51A3C6883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1142-4DD3-9B1C-AAF51A3C6883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1142-4DD3-9B1C-AAF51A3C68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1'!$E$2:$H$2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1'!$E$14:$H$14</c:f>
              <c:numCache>
                <c:formatCode>0.00%</c:formatCode>
                <c:ptCount val="4"/>
                <c:pt idx="0">
                  <c:v>0.46835443037974683</c:v>
                </c:pt>
                <c:pt idx="1">
                  <c:v>0.49367088607594939</c:v>
                </c:pt>
                <c:pt idx="2">
                  <c:v>2.5316455696202531E-2</c:v>
                </c:pt>
                <c:pt idx="3">
                  <c:v>1.2658227848101266E-2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142-4DD3-9B1C-AAF51A3C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1'!$M$2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C4E-496C-A968-171A353DAD31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C4E-496C-A968-171A353DAD31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C4E-496C-A968-171A353DAD31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C4E-496C-A968-171A353DAD31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C4E-496C-A968-171A353DAD31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C4E-496C-A968-171A353DAD31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C4E-496C-A968-171A353DAD31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C4E-496C-A968-171A353DAD31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DC4E-496C-A968-171A353DAD31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C4E-496C-A968-171A353DAD31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DC4E-496C-A968-171A353DAD31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DC4E-496C-A968-171A353DAD31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DC4E-496C-A968-171A353DAD3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1'!$M$3:$M$15</c:f>
              <c:numCache>
                <c:formatCode>0.00%</c:formatCode>
                <c:ptCount val="13"/>
                <c:pt idx="0">
                  <c:v>0</c:v>
                </c:pt>
                <c:pt idx="1">
                  <c:v>5.9566787003610108E-2</c:v>
                </c:pt>
                <c:pt idx="2">
                  <c:v>0.1299638989169675</c:v>
                </c:pt>
                <c:pt idx="3">
                  <c:v>0.22202166064981949</c:v>
                </c:pt>
                <c:pt idx="4">
                  <c:v>0.32490974729241878</c:v>
                </c:pt>
                <c:pt idx="5">
                  <c:v>0.38267148014440433</c:v>
                </c:pt>
                <c:pt idx="6">
                  <c:v>0.41877256317689532</c:v>
                </c:pt>
                <c:pt idx="7">
                  <c:v>0.46028880866425992</c:v>
                </c:pt>
                <c:pt idx="8">
                  <c:v>0.50361010830324915</c:v>
                </c:pt>
                <c:pt idx="9">
                  <c:v>0.54512635379061369</c:v>
                </c:pt>
                <c:pt idx="10">
                  <c:v>0.5703971119133574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C4E-496C-A968-171A353DA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1'!$P$2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694-429D-BB17-7B151CE056F4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694-429D-BB17-7B151CE056F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694-429D-BB17-7B151CE056F4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694-429D-BB17-7B151CE056F4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694-429D-BB17-7B151CE056F4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694-429D-BB17-7B151CE056F4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694-429D-BB17-7B151CE056F4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694-429D-BB17-7B151CE056F4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4694-429D-BB17-7B151CE056F4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694-429D-BB17-7B151CE056F4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4694-429D-BB17-7B151CE056F4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694-429D-BB17-7B151CE056F4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694-429D-BB17-7B151CE056F4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1'!$P$4:$P$15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51</c:v>
                </c:pt>
                <c:pt idx="3">
                  <c:v>57</c:v>
                </c:pt>
                <c:pt idx="4">
                  <c:v>32</c:v>
                </c:pt>
                <c:pt idx="5">
                  <c:v>20</c:v>
                </c:pt>
                <c:pt idx="6">
                  <c:v>23</c:v>
                </c:pt>
                <c:pt idx="7">
                  <c:v>24</c:v>
                </c:pt>
                <c:pt idx="8">
                  <c:v>23</c:v>
                </c:pt>
                <c:pt idx="9">
                  <c:v>14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694-429D-BB17-7B151CE05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2 - Gymnase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2'!$D$13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50-4618-8629-273D3B6F1AE1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50-4618-8629-273D3B6F1AE1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50-4618-8629-273D3B6F1AE1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50-4618-8629-273D3B6F1AE1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D50-4618-8629-273D3B6F1AE1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D50-4618-8629-273D3B6F1AE1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D50-4618-8629-273D3B6F1AE1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D50-4618-8629-273D3B6F1AE1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D50-4618-8629-273D3B6F1AE1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D50-4618-8629-273D3B6F1AE1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D50-4618-8629-273D3B6F1AE1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D50-4618-8629-273D3B6F1AE1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BD50-4618-8629-273D3B6F1AE1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BD50-4618-8629-273D3B6F1AE1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BD50-4618-8629-273D3B6F1AE1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BD50-4618-8629-273D3B6F1AE1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BD50-4618-8629-273D3B6F1AE1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BD50-4618-8629-273D3B6F1AE1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BD50-4618-8629-273D3B6F1AE1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BD50-4618-8629-273D3B6F1AE1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BD50-4618-8629-273D3B6F1AE1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BD50-4618-8629-273D3B6F1A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2'!$E$2:$H$2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2'!$E$14:$H$14</c:f>
              <c:numCache>
                <c:formatCode>0.00%</c:formatCode>
                <c:ptCount val="4"/>
                <c:pt idx="0">
                  <c:v>0.45496535796766746</c:v>
                </c:pt>
                <c:pt idx="1">
                  <c:v>0.50115473441108549</c:v>
                </c:pt>
                <c:pt idx="2">
                  <c:v>2.3094688221709007E-2</c:v>
                </c:pt>
                <c:pt idx="3">
                  <c:v>2.0785219399538105E-2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D50-4618-8629-273D3B6F1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2'!$M$2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3CE-4387-8B2F-C4E2E49F594D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3CE-4387-8B2F-C4E2E49F594D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3CE-4387-8B2F-C4E2E49F594D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3CE-4387-8B2F-C4E2E49F594D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3CE-4387-8B2F-C4E2E49F594D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3CE-4387-8B2F-C4E2E49F594D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63CE-4387-8B2F-C4E2E49F594D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3CE-4387-8B2F-C4E2E49F594D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3CE-4387-8B2F-C4E2E49F594D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63CE-4387-8B2F-C4E2E49F594D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63CE-4387-8B2F-C4E2E49F594D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3CE-4387-8B2F-C4E2E49F594D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3CE-4387-8B2F-C4E2E49F594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2'!$K$3:$K$15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2'!$M$3:$M$15</c:f>
              <c:numCache>
                <c:formatCode>0.00%</c:formatCode>
                <c:ptCount val="13"/>
                <c:pt idx="0">
                  <c:v>0</c:v>
                </c:pt>
                <c:pt idx="1">
                  <c:v>6.7567567567567571E-2</c:v>
                </c:pt>
                <c:pt idx="2">
                  <c:v>0.12162162162162163</c:v>
                </c:pt>
                <c:pt idx="3">
                  <c:v>0.22972972972972974</c:v>
                </c:pt>
                <c:pt idx="4">
                  <c:v>0.3108108108108108</c:v>
                </c:pt>
                <c:pt idx="5">
                  <c:v>0.38918918918918921</c:v>
                </c:pt>
                <c:pt idx="6">
                  <c:v>0.42432432432432432</c:v>
                </c:pt>
                <c:pt idx="7">
                  <c:v>0.45945945945945948</c:v>
                </c:pt>
                <c:pt idx="8">
                  <c:v>0.5</c:v>
                </c:pt>
                <c:pt idx="9">
                  <c:v>0.54324324324324325</c:v>
                </c:pt>
                <c:pt idx="10">
                  <c:v>0.58513513513513515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3CE-4387-8B2F-C4E2E49F5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2'!$P$2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A43-4B74-866F-9D2D290EB3B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A43-4B74-866F-9D2D290EB3B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A43-4B74-866F-9D2D290EB3B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A43-4B74-866F-9D2D290EB3B2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A43-4B74-866F-9D2D290EB3B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A43-4B74-866F-9D2D290EB3B2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9A43-4B74-866F-9D2D290EB3B2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A43-4B74-866F-9D2D290EB3B2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9A43-4B74-866F-9D2D290EB3B2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A43-4B74-866F-9D2D290EB3B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9A43-4B74-866F-9D2D290EB3B2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9A43-4B74-866F-9D2D290EB3B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9A43-4B74-866F-9D2D290EB3B2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2'!$O$4:$O$15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2'!$P$4:$P$15</c:f>
              <c:numCache>
                <c:formatCode>General</c:formatCode>
                <c:ptCount val="12"/>
                <c:pt idx="0">
                  <c:v>50</c:v>
                </c:pt>
                <c:pt idx="1">
                  <c:v>40</c:v>
                </c:pt>
                <c:pt idx="2">
                  <c:v>80</c:v>
                </c:pt>
                <c:pt idx="3">
                  <c:v>60</c:v>
                </c:pt>
                <c:pt idx="4">
                  <c:v>58</c:v>
                </c:pt>
                <c:pt idx="5">
                  <c:v>26</c:v>
                </c:pt>
                <c:pt idx="6">
                  <c:v>26</c:v>
                </c:pt>
                <c:pt idx="7">
                  <c:v>30</c:v>
                </c:pt>
                <c:pt idx="8">
                  <c:v>32</c:v>
                </c:pt>
                <c:pt idx="9">
                  <c:v>31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43-4B74-866F-9D2D290EB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3 - Gymnase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3'!$D$13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12-4DDB-9FD1-1E171830F928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12-4DDB-9FD1-1E171830F928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12-4DDB-9FD1-1E171830F928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412-4DDB-9FD1-1E171830F928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5412-4DDB-9FD1-1E171830F928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5412-4DDB-9FD1-1E171830F928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5412-4DDB-9FD1-1E171830F928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5412-4DDB-9FD1-1E171830F928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5412-4DDB-9FD1-1E171830F928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5412-4DDB-9FD1-1E171830F928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5412-4DDB-9FD1-1E171830F928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5412-4DDB-9FD1-1E171830F928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5412-4DDB-9FD1-1E171830F928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5412-4DDB-9FD1-1E171830F928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5412-4DDB-9FD1-1E171830F928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5412-4DDB-9FD1-1E171830F928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5412-4DDB-9FD1-1E171830F928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5412-4DDB-9FD1-1E171830F928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5412-4DDB-9FD1-1E171830F928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5412-4DDB-9FD1-1E171830F928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5412-4DDB-9FD1-1E171830F928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5412-4DDB-9FD1-1E171830F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3'!$E$2:$H$2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3'!$E$14:$H$14</c:f>
              <c:numCache>
                <c:formatCode>0.00%</c:formatCode>
                <c:ptCount val="4"/>
                <c:pt idx="0">
                  <c:v>0.42916666666666664</c:v>
                </c:pt>
                <c:pt idx="1">
                  <c:v>0.55208333333333337</c:v>
                </c:pt>
                <c:pt idx="2">
                  <c:v>6.2500000000000003E-3</c:v>
                </c:pt>
                <c:pt idx="3">
                  <c:v>1.2500000000000001E-2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412-4DDB-9FD1-1E171830F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3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3'!$M$2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5277-4574-B8EF-40CE7F2FF9E5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277-4574-B8EF-40CE7F2FF9E5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277-4574-B8EF-40CE7F2FF9E5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277-4574-B8EF-40CE7F2FF9E5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277-4574-B8EF-40CE7F2FF9E5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277-4574-B8EF-40CE7F2FF9E5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5277-4574-B8EF-40CE7F2FF9E5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5277-4574-B8EF-40CE7F2FF9E5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5277-4574-B8EF-40CE7F2FF9E5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5277-4574-B8EF-40CE7F2FF9E5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5277-4574-B8EF-40CE7F2FF9E5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5277-4574-B8EF-40CE7F2FF9E5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5277-4574-B8EF-40CE7F2FF9E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3'!$K$3:$K$15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3'!$M$3:$M$15</c:f>
              <c:numCache>
                <c:formatCode>0.00%</c:formatCode>
                <c:ptCount val="13"/>
                <c:pt idx="0">
                  <c:v>0</c:v>
                </c:pt>
                <c:pt idx="1">
                  <c:v>7.0028011204481794E-2</c:v>
                </c:pt>
                <c:pt idx="2">
                  <c:v>0.14005602240896359</c:v>
                </c:pt>
                <c:pt idx="3">
                  <c:v>0.25210084033613445</c:v>
                </c:pt>
                <c:pt idx="4">
                  <c:v>0.36414565826330531</c:v>
                </c:pt>
                <c:pt idx="5">
                  <c:v>0.43417366946778713</c:v>
                </c:pt>
                <c:pt idx="6">
                  <c:v>0.46218487394957986</c:v>
                </c:pt>
                <c:pt idx="7">
                  <c:v>0.51820728291316531</c:v>
                </c:pt>
                <c:pt idx="8">
                  <c:v>0.58823529411764708</c:v>
                </c:pt>
                <c:pt idx="9">
                  <c:v>0.64425770308123254</c:v>
                </c:pt>
                <c:pt idx="10">
                  <c:v>0.67226890756302526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277-4574-B8EF-40CE7F2F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3'!$P$2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DE6-4887-924E-FF49BFD2801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DE6-4887-924E-FF49BFD2801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DE6-4887-924E-FF49BFD2801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DE6-4887-924E-FF49BFD2801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DE6-4887-924E-FF49BFD2801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DE6-4887-924E-FF49BFD2801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DE6-4887-924E-FF49BFD2801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DE6-4887-924E-FF49BFD2801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3DE6-4887-924E-FF49BFD2801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DE6-4887-924E-FF49BFD2801A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DE6-4887-924E-FF49BFD2801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3DE6-4887-924E-FF49BFD2801A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3DE6-4887-924E-FF49BFD2801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3'!$O$4:$O$15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3'!$P$4:$P$15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50</c:v>
                </c:pt>
                <c:pt idx="5">
                  <c:v>20</c:v>
                </c:pt>
                <c:pt idx="6">
                  <c:v>40</c:v>
                </c:pt>
                <c:pt idx="7">
                  <c:v>50</c:v>
                </c:pt>
                <c:pt idx="8">
                  <c:v>40</c:v>
                </c:pt>
                <c:pt idx="9">
                  <c:v>20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DE6-4887-924E-FF49BFD28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4 - Gymnase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4'!$D$13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99-49E9-AD0A-D12584E3986B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99-49E9-AD0A-D12584E3986B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99-49E9-AD0A-D12584E3986B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99-49E9-AD0A-D12584E3986B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699-49E9-AD0A-D12584E3986B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699-49E9-AD0A-D12584E3986B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699-49E9-AD0A-D12584E3986B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699-49E9-AD0A-D12584E3986B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699-49E9-AD0A-D12584E3986B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699-49E9-AD0A-D12584E3986B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699-49E9-AD0A-D12584E3986B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699-49E9-AD0A-D12584E3986B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B699-49E9-AD0A-D12584E3986B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B699-49E9-AD0A-D12584E3986B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B699-49E9-AD0A-D12584E3986B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B699-49E9-AD0A-D12584E3986B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B699-49E9-AD0A-D12584E3986B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B699-49E9-AD0A-D12584E3986B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B699-49E9-AD0A-D12584E3986B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B699-49E9-AD0A-D12584E3986B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B699-49E9-AD0A-D12584E3986B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B699-49E9-AD0A-D12584E398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4'!$E$2:$H$2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4'!$E$14:$H$14</c:f>
              <c:numCache>
                <c:formatCode>0.00%</c:formatCode>
                <c:ptCount val="4"/>
                <c:pt idx="0">
                  <c:v>0.38481675392670156</c:v>
                </c:pt>
                <c:pt idx="1">
                  <c:v>0.58115183246073299</c:v>
                </c:pt>
                <c:pt idx="2">
                  <c:v>1.3089005235602094E-2</c:v>
                </c:pt>
                <c:pt idx="3">
                  <c:v>2.0942408376963352E-2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699-49E9-AD0A-D12584E39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4'!$M$2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01F-4088-8543-4EB13C44180B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01F-4088-8543-4EB13C44180B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01F-4088-8543-4EB13C44180B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01F-4088-8543-4EB13C44180B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01F-4088-8543-4EB13C44180B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01F-4088-8543-4EB13C44180B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01F-4088-8543-4EB13C44180B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01F-4088-8543-4EB13C44180B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01F-4088-8543-4EB13C44180B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01F-4088-8543-4EB13C44180B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201F-4088-8543-4EB13C44180B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201F-4088-8543-4EB13C44180B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201F-4088-8543-4EB13C44180B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4'!$K$3:$K$15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4'!$M$3:$M$15</c:f>
              <c:numCache>
                <c:formatCode>0.00%</c:formatCode>
                <c:ptCount val="13"/>
                <c:pt idx="0">
                  <c:v>0</c:v>
                </c:pt>
                <c:pt idx="1">
                  <c:v>6.4801178203240065E-2</c:v>
                </c:pt>
                <c:pt idx="2">
                  <c:v>0.16200294550810015</c:v>
                </c:pt>
                <c:pt idx="3">
                  <c:v>0.26951399116347569</c:v>
                </c:pt>
                <c:pt idx="4">
                  <c:v>0.32400589101620031</c:v>
                </c:pt>
                <c:pt idx="5">
                  <c:v>0.38291605301914583</c:v>
                </c:pt>
                <c:pt idx="6">
                  <c:v>0.43446244477172313</c:v>
                </c:pt>
                <c:pt idx="7">
                  <c:v>0.48159057437407954</c:v>
                </c:pt>
                <c:pt idx="8">
                  <c:v>0.50662739322533135</c:v>
                </c:pt>
                <c:pt idx="9">
                  <c:v>0.540500736377025</c:v>
                </c:pt>
                <c:pt idx="10">
                  <c:v>0.5625920471281296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1F-4088-8543-4EB13C441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4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4'!$P$2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0B3-4244-B1A6-B361760F00D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0B3-4244-B1A6-B361760F00D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0B3-4244-B1A6-B361760F00D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0B3-4244-B1A6-B361760F00D0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0B3-4244-B1A6-B361760F00D0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0B3-4244-B1A6-B361760F00D0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0B3-4244-B1A6-B361760F00D0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0B3-4244-B1A6-B361760F00D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0B3-4244-B1A6-B361760F00D0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0B3-4244-B1A6-B361760F00D0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C0B3-4244-B1A6-B361760F00D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0B3-4244-B1A6-B361760F00D0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C0B3-4244-B1A6-B361760F00D0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4'!$O$4:$O$15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4'!$P$4:$P$15</c:f>
              <c:numCache>
                <c:formatCode>General</c:formatCode>
                <c:ptCount val="12"/>
                <c:pt idx="0">
                  <c:v>44</c:v>
                </c:pt>
                <c:pt idx="1">
                  <c:v>66</c:v>
                </c:pt>
                <c:pt idx="2">
                  <c:v>73</c:v>
                </c:pt>
                <c:pt idx="3">
                  <c:v>37</c:v>
                </c:pt>
                <c:pt idx="4">
                  <c:v>40</c:v>
                </c:pt>
                <c:pt idx="5">
                  <c:v>35</c:v>
                </c:pt>
                <c:pt idx="6">
                  <c:v>32</c:v>
                </c:pt>
                <c:pt idx="7">
                  <c:v>17</c:v>
                </c:pt>
                <c:pt idx="8">
                  <c:v>23</c:v>
                </c:pt>
                <c:pt idx="9">
                  <c:v>15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0B3-4244-B1A6-B361760F0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5 - COSEC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5'!$D$13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B7-4531-B513-997ED10D1E21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B7-4531-B513-997ED10D1E21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B7-4531-B513-997ED10D1E21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0FB7-4531-B513-997ED10D1E21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0FB7-4531-B513-997ED10D1E21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0FB7-4531-B513-997ED10D1E21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0FB7-4531-B513-997ED10D1E21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0FB7-4531-B513-997ED10D1E21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0FB7-4531-B513-997ED10D1E21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0FB7-4531-B513-997ED10D1E21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0FB7-4531-B513-997ED10D1E21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0FB7-4531-B513-997ED10D1E21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0FB7-4531-B513-997ED10D1E21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0FB7-4531-B513-997ED10D1E21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0FB7-4531-B513-997ED10D1E21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0FB7-4531-B513-997ED10D1E21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0FB7-4531-B513-997ED10D1E21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0FB7-4531-B513-997ED10D1E21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0FB7-4531-B513-997ED10D1E21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0FB7-4531-B513-997ED10D1E21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0FB7-4531-B513-997ED10D1E21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0FB7-4531-B513-997ED10D1E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5'!$E$2:$H$2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5'!$E$14:$H$14</c:f>
              <c:numCache>
                <c:formatCode>0.00%</c:formatCode>
                <c:ptCount val="4"/>
                <c:pt idx="0">
                  <c:v>0.42947368421052634</c:v>
                </c:pt>
                <c:pt idx="1">
                  <c:v>0.5284210526315789</c:v>
                </c:pt>
                <c:pt idx="2">
                  <c:v>2.1052631578947368E-2</c:v>
                </c:pt>
                <c:pt idx="3">
                  <c:v>2.1052631578947368E-2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FB7-4531-B513-997ED10D1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5'!$M$2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1C8-4C32-8DAA-53789E34ED2D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1C8-4C32-8DAA-53789E34ED2D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1C8-4C32-8DAA-53789E34ED2D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1C8-4C32-8DAA-53789E34ED2D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1C8-4C32-8DAA-53789E34ED2D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1C8-4C32-8DAA-53789E34ED2D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1C8-4C32-8DAA-53789E34ED2D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1C8-4C32-8DAA-53789E34ED2D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D1C8-4C32-8DAA-53789E34ED2D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1C8-4C32-8DAA-53789E34ED2D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D1C8-4C32-8DAA-53789E34ED2D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D1C8-4C32-8DAA-53789E34ED2D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D1C8-4C32-8DAA-53789E34ED2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5'!$K$3:$K$15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5'!$M$3:$M$15</c:f>
              <c:numCache>
                <c:formatCode>0.00%</c:formatCode>
                <c:ptCount val="13"/>
                <c:pt idx="0">
                  <c:v>0</c:v>
                </c:pt>
                <c:pt idx="1">
                  <c:v>6.4194008559201141E-2</c:v>
                </c:pt>
                <c:pt idx="2">
                  <c:v>0.15691868758915833</c:v>
                </c:pt>
                <c:pt idx="3">
                  <c:v>0.28530670470756064</c:v>
                </c:pt>
                <c:pt idx="4">
                  <c:v>0.38659058487874465</c:v>
                </c:pt>
                <c:pt idx="5">
                  <c:v>0.47218259629101283</c:v>
                </c:pt>
                <c:pt idx="6">
                  <c:v>0.50641940085592008</c:v>
                </c:pt>
                <c:pt idx="7">
                  <c:v>0.55634807417974319</c:v>
                </c:pt>
                <c:pt idx="8">
                  <c:v>0.59914407988587737</c:v>
                </c:pt>
                <c:pt idx="9">
                  <c:v>0.63766048502139805</c:v>
                </c:pt>
                <c:pt idx="10">
                  <c:v>0.67760342368045645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1C8-4C32-8DAA-53789E34E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5'!$P$2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F89-4E6E-85A3-1D3146DA030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F89-4E6E-85A3-1D3146DA030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F89-4E6E-85A3-1D3146DA030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F89-4E6E-85A3-1D3146DA030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F89-4E6E-85A3-1D3146DA030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F89-4E6E-85A3-1D3146DA030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8F89-4E6E-85A3-1D3146DA030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F89-4E6E-85A3-1D3146DA030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8F89-4E6E-85A3-1D3146DA030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8F89-4E6E-85A3-1D3146DA030C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8F89-4E6E-85A3-1D3146DA030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8F89-4E6E-85A3-1D3146DA030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8F89-4E6E-85A3-1D3146DA030C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5'!$O$4:$O$15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5'!$P$4:$P$15</c:f>
              <c:numCache>
                <c:formatCode>General</c:formatCode>
                <c:ptCount val="12"/>
                <c:pt idx="0">
                  <c:v>45</c:v>
                </c:pt>
                <c:pt idx="1">
                  <c:v>65</c:v>
                </c:pt>
                <c:pt idx="2">
                  <c:v>90</c:v>
                </c:pt>
                <c:pt idx="3">
                  <c:v>71</c:v>
                </c:pt>
                <c:pt idx="4">
                  <c:v>60</c:v>
                </c:pt>
                <c:pt idx="5">
                  <c:v>24</c:v>
                </c:pt>
                <c:pt idx="6">
                  <c:v>35</c:v>
                </c:pt>
                <c:pt idx="7">
                  <c:v>30</c:v>
                </c:pt>
                <c:pt idx="8">
                  <c:v>27</c:v>
                </c:pt>
                <c:pt idx="9">
                  <c:v>28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F89-4E6E-85A3-1D3146DA0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6 - COSEC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6'!$D$13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CB-4513-B34E-EBFDC9236421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CB-4513-B34E-EBFDC9236421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CB-4513-B34E-EBFDC9236421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CCB-4513-B34E-EBFDC9236421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CCB-4513-B34E-EBFDC9236421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CCB-4513-B34E-EBFDC9236421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CCB-4513-B34E-EBFDC9236421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CCB-4513-B34E-EBFDC9236421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4CCB-4513-B34E-EBFDC9236421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4CCB-4513-B34E-EBFDC9236421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4CCB-4513-B34E-EBFDC9236421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4CCB-4513-B34E-EBFDC9236421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4CCB-4513-B34E-EBFDC9236421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4CCB-4513-B34E-EBFDC9236421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4CCB-4513-B34E-EBFDC9236421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4CCB-4513-B34E-EBFDC9236421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4CCB-4513-B34E-EBFDC9236421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4CCB-4513-B34E-EBFDC9236421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4CCB-4513-B34E-EBFDC9236421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4CCB-4513-B34E-EBFDC9236421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4CCB-4513-B34E-EBFDC9236421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4CCB-4513-B34E-EBFDC92364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6'!$E$2:$H$2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6'!$E$14:$H$14</c:f>
              <c:numCache>
                <c:formatCode>0.00%</c:formatCode>
                <c:ptCount val="4"/>
                <c:pt idx="0">
                  <c:v>0.42368421052631577</c:v>
                </c:pt>
                <c:pt idx="1">
                  <c:v>0.53947368421052633</c:v>
                </c:pt>
                <c:pt idx="2">
                  <c:v>5.263157894736842E-3</c:v>
                </c:pt>
                <c:pt idx="3">
                  <c:v>3.1578947368421054E-2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CCB-4513-B34E-EBFDC9236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6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6'!$M$2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DD6-49EA-B012-BE00F76D4407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DD6-49EA-B012-BE00F76D4407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DD6-49EA-B012-BE00F76D4407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DD6-49EA-B012-BE00F76D4407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DD6-49EA-B012-BE00F76D4407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DD6-49EA-B012-BE00F76D4407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DD6-49EA-B012-BE00F76D4407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DD6-49EA-B012-BE00F76D4407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DD6-49EA-B012-BE00F76D4407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DD6-49EA-B012-BE00F76D4407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1DD6-49EA-B012-BE00F76D4407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1DD6-49EA-B012-BE00F76D4407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1DD6-49EA-B012-BE00F76D440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6'!$K$3:$K$15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6'!$M$3:$M$15</c:f>
              <c:numCache>
                <c:formatCode>0.00%</c:formatCode>
                <c:ptCount val="13"/>
                <c:pt idx="0">
                  <c:v>0</c:v>
                </c:pt>
                <c:pt idx="1">
                  <c:v>6.7605633802816895E-2</c:v>
                </c:pt>
                <c:pt idx="2">
                  <c:v>0.14084507042253522</c:v>
                </c:pt>
                <c:pt idx="3">
                  <c:v>0.21971830985915494</c:v>
                </c:pt>
                <c:pt idx="4">
                  <c:v>0.3</c:v>
                </c:pt>
                <c:pt idx="5">
                  <c:v>0.36338028169014086</c:v>
                </c:pt>
                <c:pt idx="6">
                  <c:v>0.4</c:v>
                </c:pt>
                <c:pt idx="7">
                  <c:v>0.45070422535211269</c:v>
                </c:pt>
                <c:pt idx="8">
                  <c:v>0.47887323943661969</c:v>
                </c:pt>
                <c:pt idx="9">
                  <c:v>0.50985915492957745</c:v>
                </c:pt>
                <c:pt idx="10">
                  <c:v>0.53521126760563376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DD6-49EA-B012-BE00F76D4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6'!$P$2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B44-41CE-BF05-7AACD7ABB06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B44-41CE-BF05-7AACD7ABB06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B44-41CE-BF05-7AACD7ABB06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B44-41CE-BF05-7AACD7ABB06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B44-41CE-BF05-7AACD7ABB06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B44-41CE-BF05-7AACD7ABB06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7B44-41CE-BF05-7AACD7ABB06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B44-41CE-BF05-7AACD7ABB06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7B44-41CE-BF05-7AACD7ABB06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B44-41CE-BF05-7AACD7ABB06C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7B44-41CE-BF05-7AACD7ABB06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B44-41CE-BF05-7AACD7ABB06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7B44-41CE-BF05-7AACD7ABB06C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6'!$O$4:$O$15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6'!$P$4:$P$15</c:f>
              <c:numCache>
                <c:formatCode>General</c:formatCode>
                <c:ptCount val="12"/>
                <c:pt idx="0">
                  <c:v>48</c:v>
                </c:pt>
                <c:pt idx="1">
                  <c:v>52</c:v>
                </c:pt>
                <c:pt idx="2">
                  <c:v>56</c:v>
                </c:pt>
                <c:pt idx="3">
                  <c:v>57</c:v>
                </c:pt>
                <c:pt idx="4">
                  <c:v>45</c:v>
                </c:pt>
                <c:pt idx="5">
                  <c:v>26</c:v>
                </c:pt>
                <c:pt idx="6">
                  <c:v>36</c:v>
                </c:pt>
                <c:pt idx="7">
                  <c:v>20</c:v>
                </c:pt>
                <c:pt idx="8">
                  <c:v>22</c:v>
                </c:pt>
                <c:pt idx="9">
                  <c:v>18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44-41CE-BF05-7AACD7AB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7 - COSEC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7'!$D$13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F2-4632-9C95-2A97E851B306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F2-4632-9C95-2A97E851B306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F2-4632-9C95-2A97E851B306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F2-4632-9C95-2A97E851B306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04F2-4632-9C95-2A97E851B306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04F2-4632-9C95-2A97E851B306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04F2-4632-9C95-2A97E851B306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04F2-4632-9C95-2A97E851B306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04F2-4632-9C95-2A97E851B306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04F2-4632-9C95-2A97E851B306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04F2-4632-9C95-2A97E851B306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04F2-4632-9C95-2A97E851B306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04F2-4632-9C95-2A97E851B306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04F2-4632-9C95-2A97E851B306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04F2-4632-9C95-2A97E851B306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04F2-4632-9C95-2A97E851B306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04F2-4632-9C95-2A97E851B306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04F2-4632-9C95-2A97E851B306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04F2-4632-9C95-2A97E851B306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04F2-4632-9C95-2A97E851B306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04F2-4632-9C95-2A97E851B306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04F2-4632-9C95-2A97E851B3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7'!$E$2:$H$2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7'!$E$14:$H$14</c:f>
              <c:numCache>
                <c:formatCode>0.00%</c:formatCode>
                <c:ptCount val="4"/>
                <c:pt idx="0">
                  <c:v>0.4</c:v>
                </c:pt>
                <c:pt idx="1">
                  <c:v>0.56511627906976747</c:v>
                </c:pt>
                <c:pt idx="2">
                  <c:v>9.3023255813953487E-3</c:v>
                </c:pt>
                <c:pt idx="3">
                  <c:v>2.5581395348837209E-2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04F2-4632-9C95-2A97E851B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7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7'!$M$2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57C-4EA6-99F3-44F23550D5D1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57C-4EA6-99F3-44F23550D5D1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57C-4EA6-99F3-44F23550D5D1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57C-4EA6-99F3-44F23550D5D1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57C-4EA6-99F3-44F23550D5D1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57C-4EA6-99F3-44F23550D5D1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57C-4EA6-99F3-44F23550D5D1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57C-4EA6-99F3-44F23550D5D1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57C-4EA6-99F3-44F23550D5D1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57C-4EA6-99F3-44F23550D5D1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157C-4EA6-99F3-44F23550D5D1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157C-4EA6-99F3-44F23550D5D1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157C-4EA6-99F3-44F23550D5D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7'!$K$3:$K$15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7'!$M$3:$M$15</c:f>
              <c:numCache>
                <c:formatCode>0.00%</c:formatCode>
                <c:ptCount val="13"/>
                <c:pt idx="0">
                  <c:v>0</c:v>
                </c:pt>
                <c:pt idx="1">
                  <c:v>4.1039671682626538E-2</c:v>
                </c:pt>
                <c:pt idx="2">
                  <c:v>0.12311901504787962</c:v>
                </c:pt>
                <c:pt idx="3">
                  <c:v>0.2188782489740082</c:v>
                </c:pt>
                <c:pt idx="4">
                  <c:v>0.31463748290013682</c:v>
                </c:pt>
                <c:pt idx="5">
                  <c:v>0.38303693570451436</c:v>
                </c:pt>
                <c:pt idx="6">
                  <c:v>0.42407660738714092</c:v>
                </c:pt>
                <c:pt idx="7">
                  <c:v>0.45143638850889195</c:v>
                </c:pt>
                <c:pt idx="8">
                  <c:v>0.51299589603283169</c:v>
                </c:pt>
                <c:pt idx="9">
                  <c:v>0.560875512995896</c:v>
                </c:pt>
                <c:pt idx="10">
                  <c:v>0.58823529411764708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57C-4EA6-99F3-44F23550D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7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7'!$P$2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B9D-4533-9870-1F77FEFD6A1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B9D-4533-9870-1F77FEFD6A1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B9D-4533-9870-1F77FEFD6A1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B9D-4533-9870-1F77FEFD6A12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B9D-4533-9870-1F77FEFD6A1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B9D-4533-9870-1F77FEFD6A12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6B9D-4533-9870-1F77FEFD6A12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B9D-4533-9870-1F77FEFD6A12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B9D-4533-9870-1F77FEFD6A12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6B9D-4533-9870-1F77FEFD6A1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6B9D-4533-9870-1F77FEFD6A12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B9D-4533-9870-1F77FEFD6A1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B9D-4533-9870-1F77FEFD6A12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7'!$O$4:$O$15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7'!$P$4:$P$15</c:f>
              <c:numCache>
                <c:formatCode>General</c:formatCode>
                <c:ptCount val="12"/>
                <c:pt idx="0">
                  <c:v>30</c:v>
                </c:pt>
                <c:pt idx="1">
                  <c:v>60</c:v>
                </c:pt>
                <c:pt idx="2">
                  <c:v>70</c:v>
                </c:pt>
                <c:pt idx="3">
                  <c:v>70</c:v>
                </c:pt>
                <c:pt idx="4">
                  <c:v>50</c:v>
                </c:pt>
                <c:pt idx="5">
                  <c:v>30</c:v>
                </c:pt>
                <c:pt idx="6">
                  <c:v>20</c:v>
                </c:pt>
                <c:pt idx="7">
                  <c:v>45</c:v>
                </c:pt>
                <c:pt idx="8">
                  <c:v>35</c:v>
                </c:pt>
                <c:pt idx="9">
                  <c:v>20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B9D-4533-9870-1F77FEFD6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8 - COSEC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8'!$D$13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33-4A19-8214-507EAB03BBF2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33-4A19-8214-507EAB03BBF2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D33-4A19-8214-507EAB03BBF2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D33-4A19-8214-507EAB03BBF2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CD33-4A19-8214-507EAB03BBF2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CD33-4A19-8214-507EAB03BBF2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CD33-4A19-8214-507EAB03BBF2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CD33-4A19-8214-507EAB03BBF2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CD33-4A19-8214-507EAB03BBF2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CD33-4A19-8214-507EAB03BBF2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CD33-4A19-8214-507EAB03BBF2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CD33-4A19-8214-507EAB03BBF2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CD33-4A19-8214-507EAB03BBF2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CD33-4A19-8214-507EAB03BBF2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CD33-4A19-8214-507EAB03BBF2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CD33-4A19-8214-507EAB03BBF2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CD33-4A19-8214-507EAB03BBF2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CD33-4A19-8214-507EAB03BBF2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CD33-4A19-8214-507EAB03BBF2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CD33-4A19-8214-507EAB03BBF2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CD33-4A19-8214-507EAB03BBF2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CD33-4A19-8214-507EAB03BB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8'!$E$2:$H$2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8'!$E$14:$H$14</c:f>
              <c:numCache>
                <c:formatCode>0.00%</c:formatCode>
                <c:ptCount val="4"/>
                <c:pt idx="0">
                  <c:v>0.41160220994475138</c:v>
                </c:pt>
                <c:pt idx="1">
                  <c:v>0.5524861878453039</c:v>
                </c:pt>
                <c:pt idx="2">
                  <c:v>1.1049723756906077E-2</c:v>
                </c:pt>
                <c:pt idx="3">
                  <c:v>2.4861878453038673E-2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D33-4A19-8214-507EAB03B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8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8'!$M$2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F01-4347-8139-2366931783FA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F01-4347-8139-2366931783FA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F01-4347-8139-2366931783FA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F01-4347-8139-2366931783FA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F01-4347-8139-2366931783FA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F01-4347-8139-2366931783FA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7F01-4347-8139-2366931783FA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F01-4347-8139-2366931783FA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7F01-4347-8139-2366931783FA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F01-4347-8139-2366931783FA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7F01-4347-8139-2366931783FA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F01-4347-8139-2366931783FA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7F01-4347-8139-2366931783F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8'!$K$3:$K$15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8'!$M$3:$M$15</c:f>
              <c:numCache>
                <c:formatCode>0.00%</c:formatCode>
                <c:ptCount val="13"/>
                <c:pt idx="0">
                  <c:v>0</c:v>
                </c:pt>
                <c:pt idx="1">
                  <c:v>6.2015503875968991E-2</c:v>
                </c:pt>
                <c:pt idx="2">
                  <c:v>0.14263565891472868</c:v>
                </c:pt>
                <c:pt idx="3">
                  <c:v>0.22635658914728682</c:v>
                </c:pt>
                <c:pt idx="4">
                  <c:v>0.32868217054263565</c:v>
                </c:pt>
                <c:pt idx="5">
                  <c:v>0.413953488372093</c:v>
                </c:pt>
                <c:pt idx="6">
                  <c:v>0.45581395348837211</c:v>
                </c:pt>
                <c:pt idx="7">
                  <c:v>0.49147286821705427</c:v>
                </c:pt>
                <c:pt idx="8">
                  <c:v>0.51162790697674421</c:v>
                </c:pt>
                <c:pt idx="9">
                  <c:v>0.55193798449612408</c:v>
                </c:pt>
                <c:pt idx="10">
                  <c:v>0.5612403100775194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F01-4347-8139-236693178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8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8'!$P$2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C67-4548-87C6-919F3FD8749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C67-4548-87C6-919F3FD8749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C67-4548-87C6-919F3FD87495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C67-4548-87C6-919F3FD87495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C67-4548-87C6-919F3FD87495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C67-4548-87C6-919F3FD87495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6C67-4548-87C6-919F3FD87495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C67-4548-87C6-919F3FD87495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C67-4548-87C6-919F3FD87495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6C67-4548-87C6-919F3FD87495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6C67-4548-87C6-919F3FD87495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C67-4548-87C6-919F3FD87495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C67-4548-87C6-919F3FD87495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8'!$O$4:$O$15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8'!$P$4:$P$15</c:f>
              <c:numCache>
                <c:formatCode>General</c:formatCode>
                <c:ptCount val="12"/>
                <c:pt idx="0">
                  <c:v>40</c:v>
                </c:pt>
                <c:pt idx="1">
                  <c:v>52</c:v>
                </c:pt>
                <c:pt idx="2">
                  <c:v>54</c:v>
                </c:pt>
                <c:pt idx="3">
                  <c:v>66</c:v>
                </c:pt>
                <c:pt idx="4">
                  <c:v>55</c:v>
                </c:pt>
                <c:pt idx="5">
                  <c:v>27</c:v>
                </c:pt>
                <c:pt idx="6">
                  <c:v>23</c:v>
                </c:pt>
                <c:pt idx="7">
                  <c:v>13</c:v>
                </c:pt>
                <c:pt idx="8">
                  <c:v>26</c:v>
                </c:pt>
                <c:pt idx="9">
                  <c:v>6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67-4548-87C6-919F3FD87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9 - CMM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9'!$D$13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A5-4611-9087-5BFECDF0C077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A5-4611-9087-5BFECDF0C077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A5-4611-9087-5BFECDF0C077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CA5-4611-9087-5BFECDF0C077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CA5-4611-9087-5BFECDF0C077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CA5-4611-9087-5BFECDF0C077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CA5-4611-9087-5BFECDF0C077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CA5-4611-9087-5BFECDF0C077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4CA5-4611-9087-5BFECDF0C077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4CA5-4611-9087-5BFECDF0C077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4CA5-4611-9087-5BFECDF0C077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4CA5-4611-9087-5BFECDF0C077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4CA5-4611-9087-5BFECDF0C077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4CA5-4611-9087-5BFECDF0C077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4CA5-4611-9087-5BFECDF0C077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4CA5-4611-9087-5BFECDF0C077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4CA5-4611-9087-5BFECDF0C077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4CA5-4611-9087-5BFECDF0C077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4CA5-4611-9087-5BFECDF0C077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4CA5-4611-9087-5BFECDF0C077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4CA5-4611-9087-5BFECDF0C077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4CA5-4611-9087-5BFECDF0C0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9'!$E$2:$H$2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9'!$E$14:$H$14</c:f>
              <c:numCache>
                <c:formatCode>0.00%</c:formatCode>
                <c:ptCount val="4"/>
                <c:pt idx="0">
                  <c:v>0.43504531722054379</c:v>
                </c:pt>
                <c:pt idx="1">
                  <c:v>0.51359516616314205</c:v>
                </c:pt>
                <c:pt idx="2">
                  <c:v>3.3232628398791542E-2</c:v>
                </c:pt>
                <c:pt idx="3">
                  <c:v>1.812688821752266E-2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CA5-4611-9087-5BFECDF0C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9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9'!$M$2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F8C-4093-A1A6-AE2371C09183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F8C-4093-A1A6-AE2371C09183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F8C-4093-A1A6-AE2371C09183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F8C-4093-A1A6-AE2371C09183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F8C-4093-A1A6-AE2371C09183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F8C-4093-A1A6-AE2371C09183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EF8C-4093-A1A6-AE2371C09183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F8C-4093-A1A6-AE2371C09183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EF8C-4093-A1A6-AE2371C09183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F8C-4093-A1A6-AE2371C09183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EF8C-4093-A1A6-AE2371C09183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EF8C-4093-A1A6-AE2371C09183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EF8C-4093-A1A6-AE2371C0918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9'!$K$3:$K$15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9'!$M$3:$M$15</c:f>
              <c:numCache>
                <c:formatCode>0.00%</c:formatCode>
                <c:ptCount val="13"/>
                <c:pt idx="0">
                  <c:v>0</c:v>
                </c:pt>
                <c:pt idx="1">
                  <c:v>4.9295774647887321E-2</c:v>
                </c:pt>
                <c:pt idx="2">
                  <c:v>9.8591549295774641E-2</c:v>
                </c:pt>
                <c:pt idx="3">
                  <c:v>0.17887323943661973</c:v>
                </c:pt>
                <c:pt idx="4">
                  <c:v>0.25352112676056338</c:v>
                </c:pt>
                <c:pt idx="5">
                  <c:v>0.3</c:v>
                </c:pt>
                <c:pt idx="6">
                  <c:v>0.3380281690140845</c:v>
                </c:pt>
                <c:pt idx="7">
                  <c:v>0.37183098591549296</c:v>
                </c:pt>
                <c:pt idx="8">
                  <c:v>0.41408450704225352</c:v>
                </c:pt>
                <c:pt idx="9">
                  <c:v>0.45070422535211269</c:v>
                </c:pt>
                <c:pt idx="10">
                  <c:v>0.46619718309859154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8C-4093-A1A6-AE2371C09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9'!$P$2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1FF-4082-BB7B-829B4A7C014F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1FF-4082-BB7B-829B4A7C014F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1FF-4082-BB7B-829B4A7C014F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1FF-4082-BB7B-829B4A7C014F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1FF-4082-BB7B-829B4A7C014F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1FF-4082-BB7B-829B4A7C014F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E1FF-4082-BB7B-829B4A7C014F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1FF-4082-BB7B-829B4A7C014F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E1FF-4082-BB7B-829B4A7C014F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1FF-4082-BB7B-829B4A7C014F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E1FF-4082-BB7B-829B4A7C014F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E1FF-4082-BB7B-829B4A7C014F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E1FF-4082-BB7B-829B4A7C014F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9'!$O$4:$O$15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9'!$P$4:$P$15</c:f>
              <c:numCache>
                <c:formatCode>General</c:formatCode>
                <c:ptCount val="12"/>
                <c:pt idx="0">
                  <c:v>35</c:v>
                </c:pt>
                <c:pt idx="1">
                  <c:v>35</c:v>
                </c:pt>
                <c:pt idx="2">
                  <c:v>57</c:v>
                </c:pt>
                <c:pt idx="3">
                  <c:v>53</c:v>
                </c:pt>
                <c:pt idx="4">
                  <c:v>33</c:v>
                </c:pt>
                <c:pt idx="5">
                  <c:v>27</c:v>
                </c:pt>
                <c:pt idx="6">
                  <c:v>24</c:v>
                </c:pt>
                <c:pt idx="7">
                  <c:v>30</c:v>
                </c:pt>
                <c:pt idx="8">
                  <c:v>26</c:v>
                </c:pt>
                <c:pt idx="9">
                  <c:v>11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1FF-4082-BB7B-829B4A7C0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10 - CMM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10'!$D$13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F1-4288-9A6F-BE7E6E0ABFB8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F1-4288-9A6F-BE7E6E0ABFB8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F1-4288-9A6F-BE7E6E0ABFB8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4F1-4288-9A6F-BE7E6E0ABFB8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4F1-4288-9A6F-BE7E6E0ABFB8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4F1-4288-9A6F-BE7E6E0ABFB8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4F1-4288-9A6F-BE7E6E0ABFB8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4F1-4288-9A6F-BE7E6E0ABFB8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4F1-4288-9A6F-BE7E6E0ABFB8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4F1-4288-9A6F-BE7E6E0ABFB8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4F1-4288-9A6F-BE7E6E0ABFB8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4F1-4288-9A6F-BE7E6E0ABFB8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4F1-4288-9A6F-BE7E6E0ABFB8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14F1-4288-9A6F-BE7E6E0ABFB8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14F1-4288-9A6F-BE7E6E0ABFB8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4F1-4288-9A6F-BE7E6E0ABFB8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14F1-4288-9A6F-BE7E6E0ABFB8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14F1-4288-9A6F-BE7E6E0ABFB8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14F1-4288-9A6F-BE7E6E0ABFB8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14F1-4288-9A6F-BE7E6E0ABFB8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14F1-4288-9A6F-BE7E6E0ABFB8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14F1-4288-9A6F-BE7E6E0ABF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10'!$E$2:$H$2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10'!$E$14:$H$14</c:f>
              <c:numCache>
                <c:formatCode>0.00%</c:formatCode>
                <c:ptCount val="4"/>
                <c:pt idx="0">
                  <c:v>0.49019607843137253</c:v>
                </c:pt>
                <c:pt idx="1">
                  <c:v>0.47058823529411764</c:v>
                </c:pt>
                <c:pt idx="2">
                  <c:v>1.9607843137254902E-2</c:v>
                </c:pt>
                <c:pt idx="3">
                  <c:v>1.9607843137254902E-2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4F1-4288-9A6F-BE7E6E0AB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10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10'!$M$2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58C-479F-A0EB-9582ED8B18AB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58C-479F-A0EB-9582ED8B18AB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58C-479F-A0EB-9582ED8B18AB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58C-479F-A0EB-9582ED8B18AB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58C-479F-A0EB-9582ED8B18AB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58C-479F-A0EB-9582ED8B18AB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E58C-479F-A0EB-9582ED8B18AB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58C-479F-A0EB-9582ED8B18AB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E58C-479F-A0EB-9582ED8B18AB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58C-479F-A0EB-9582ED8B18AB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E58C-479F-A0EB-9582ED8B18AB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E58C-479F-A0EB-9582ED8B18AB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E58C-479F-A0EB-9582ED8B18AB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10'!$K$3:$K$15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10'!$M$3:$M$15</c:f>
              <c:numCache>
                <c:formatCode>0.00%</c:formatCode>
                <c:ptCount val="13"/>
                <c:pt idx="0">
                  <c:v>0</c:v>
                </c:pt>
                <c:pt idx="1">
                  <c:v>4.9261083743842367E-2</c:v>
                </c:pt>
                <c:pt idx="2">
                  <c:v>0.13793103448275862</c:v>
                </c:pt>
                <c:pt idx="3">
                  <c:v>0.24630541871921183</c:v>
                </c:pt>
                <c:pt idx="4">
                  <c:v>0.36124794745484401</c:v>
                </c:pt>
                <c:pt idx="5">
                  <c:v>0.44334975369458129</c:v>
                </c:pt>
                <c:pt idx="6">
                  <c:v>0.46305418719211822</c:v>
                </c:pt>
                <c:pt idx="7">
                  <c:v>0.50082101806239743</c:v>
                </c:pt>
                <c:pt idx="8">
                  <c:v>0.5336617405582923</c:v>
                </c:pt>
                <c:pt idx="9">
                  <c:v>0.56650246305418717</c:v>
                </c:pt>
                <c:pt idx="10">
                  <c:v>0.58620689655172409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58C-479F-A0EB-9582ED8B1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10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10'!$P$2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326-4054-8597-1CB09646CB3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326-4054-8597-1CB09646CB3E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326-4054-8597-1CB09646CB3E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326-4054-8597-1CB09646CB3E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326-4054-8597-1CB09646CB3E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326-4054-8597-1CB09646CB3E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326-4054-8597-1CB09646CB3E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326-4054-8597-1CB09646CB3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326-4054-8597-1CB09646CB3E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326-4054-8597-1CB09646CB3E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C326-4054-8597-1CB09646CB3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326-4054-8597-1CB09646CB3E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C326-4054-8597-1CB09646CB3E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10'!$O$4:$O$15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10'!$P$4:$P$15</c:f>
              <c:numCache>
                <c:formatCode>General</c:formatCode>
                <c:ptCount val="12"/>
                <c:pt idx="0">
                  <c:v>30</c:v>
                </c:pt>
                <c:pt idx="1">
                  <c:v>54</c:v>
                </c:pt>
                <c:pt idx="2">
                  <c:v>66</c:v>
                </c:pt>
                <c:pt idx="3">
                  <c:v>70</c:v>
                </c:pt>
                <c:pt idx="4">
                  <c:v>50</c:v>
                </c:pt>
                <c:pt idx="5">
                  <c:v>12</c:v>
                </c:pt>
                <c:pt idx="6">
                  <c:v>23</c:v>
                </c:pt>
                <c:pt idx="7">
                  <c:v>20</c:v>
                </c:pt>
                <c:pt idx="8">
                  <c:v>20</c:v>
                </c:pt>
                <c:pt idx="9">
                  <c:v>12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326-4054-8597-1CB09646C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11 - CMM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11'!$D$13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50-43CF-BC5B-699603D269F3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50-43CF-BC5B-699603D269F3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50-43CF-BC5B-699603D269F3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50-43CF-BC5B-699603D269F3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50-43CF-BC5B-699603D269F3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50-43CF-BC5B-699603D269F3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50-43CF-BC5B-699603D269F3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50-43CF-BC5B-699603D269F3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550-43CF-BC5B-699603D269F3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550-43CF-BC5B-699603D269F3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550-43CF-BC5B-699603D269F3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550-43CF-BC5B-699603D269F3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550-43CF-BC5B-699603D269F3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1550-43CF-BC5B-699603D269F3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1550-43CF-BC5B-699603D269F3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550-43CF-BC5B-699603D269F3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1550-43CF-BC5B-699603D269F3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1550-43CF-BC5B-699603D269F3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1550-43CF-BC5B-699603D269F3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1550-43CF-BC5B-699603D269F3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1550-43CF-BC5B-699603D269F3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1550-43CF-BC5B-699603D269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11'!$E$2:$H$2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11'!$E$14:$H$14</c:f>
              <c:numCache>
                <c:formatCode>0.00%</c:formatCode>
                <c:ptCount val="4"/>
                <c:pt idx="0">
                  <c:v>0.51851851851851849</c:v>
                </c:pt>
                <c:pt idx="1">
                  <c:v>0.42962962962962964</c:v>
                </c:pt>
                <c:pt idx="2">
                  <c:v>1.9753086419753086E-2</c:v>
                </c:pt>
                <c:pt idx="3">
                  <c:v>3.2098765432098768E-2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550-43CF-BC5B-699603D26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11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11'!$M$2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6FD-4517-A9C6-9474E456262B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6FD-4517-A9C6-9474E456262B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6FD-4517-A9C6-9474E456262B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6FD-4517-A9C6-9474E456262B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6FD-4517-A9C6-9474E456262B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6FD-4517-A9C6-9474E456262B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66FD-4517-A9C6-9474E456262B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6FD-4517-A9C6-9474E456262B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6FD-4517-A9C6-9474E456262B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66FD-4517-A9C6-9474E456262B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66FD-4517-A9C6-9474E456262B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6FD-4517-A9C6-9474E456262B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6FD-4517-A9C6-9474E456262B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11'!$K$3:$K$15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11'!$M$3:$M$15</c:f>
              <c:numCache>
                <c:formatCode>0.00%</c:formatCode>
                <c:ptCount val="13"/>
                <c:pt idx="0">
                  <c:v>0</c:v>
                </c:pt>
                <c:pt idx="1">
                  <c:v>6.2228654124457307E-2</c:v>
                </c:pt>
                <c:pt idx="2">
                  <c:v>0.1345875542691751</c:v>
                </c:pt>
                <c:pt idx="3">
                  <c:v>0.22575976845151954</c:v>
                </c:pt>
                <c:pt idx="4">
                  <c:v>0.32706222865412443</c:v>
                </c:pt>
                <c:pt idx="5">
                  <c:v>0.37626628075253254</c:v>
                </c:pt>
                <c:pt idx="6">
                  <c:v>0.43125904486251809</c:v>
                </c:pt>
                <c:pt idx="7">
                  <c:v>0.48046309696092621</c:v>
                </c:pt>
                <c:pt idx="8">
                  <c:v>0.52532561505065123</c:v>
                </c:pt>
                <c:pt idx="9">
                  <c:v>0.56005788712011573</c:v>
                </c:pt>
                <c:pt idx="10">
                  <c:v>0.58610709117221416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FD-4517-A9C6-9474E4562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11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11'!$P$2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CA8-4FEB-969D-C98BB66CD56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CA8-4FEB-969D-C98BB66CD56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CA8-4FEB-969D-C98BB66CD56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CA8-4FEB-969D-C98BB66CD56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CA8-4FEB-969D-C98BB66CD56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CA8-4FEB-969D-C98BB66CD567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7CA8-4FEB-969D-C98BB66CD567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CA8-4FEB-969D-C98BB66CD56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7CA8-4FEB-969D-C98BB66CD567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CA8-4FEB-969D-C98BB66CD56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7CA8-4FEB-969D-C98BB66CD567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CA8-4FEB-969D-C98BB66CD567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7CA8-4FEB-969D-C98BB66CD567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11'!$O$4:$O$15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11'!$P$4:$P$15</c:f>
              <c:numCache>
                <c:formatCode>General</c:formatCode>
                <c:ptCount val="12"/>
                <c:pt idx="0">
                  <c:v>43</c:v>
                </c:pt>
                <c:pt idx="1">
                  <c:v>50</c:v>
                </c:pt>
                <c:pt idx="2">
                  <c:v>63</c:v>
                </c:pt>
                <c:pt idx="3">
                  <c:v>70</c:v>
                </c:pt>
                <c:pt idx="4">
                  <c:v>34</c:v>
                </c:pt>
                <c:pt idx="5">
                  <c:v>38</c:v>
                </c:pt>
                <c:pt idx="6">
                  <c:v>34</c:v>
                </c:pt>
                <c:pt idx="7">
                  <c:v>31</c:v>
                </c:pt>
                <c:pt idx="8">
                  <c:v>24</c:v>
                </c:pt>
                <c:pt idx="9">
                  <c:v>18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CA8-4FEB-969D-C98BB66CD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12 - Base nautique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52133214716E-2"/>
          <c:y val="0.13445396426111633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12'!$D$13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C9-4BCE-B5BA-2BE609464F52}"/>
              </c:ext>
            </c:extLst>
          </c:dPt>
          <c:dPt>
            <c:idx val="1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C9-4BCE-B5BA-2BE609464F52}"/>
              </c:ext>
            </c:extLst>
          </c:dPt>
          <c:dPt>
            <c:idx val="2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99C9-4BCE-B5BA-2BE609464F52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9C9-4BCE-B5BA-2BE609464F52}"/>
              </c:ext>
            </c:extLst>
          </c:dPt>
          <c:dPt>
            <c:idx val="4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99C9-4BCE-B5BA-2BE609464F52}"/>
              </c:ext>
            </c:extLst>
          </c:dPt>
          <c:dPt>
            <c:idx val="5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99C9-4BCE-B5BA-2BE609464F52}"/>
              </c:ext>
            </c:extLst>
          </c:dPt>
          <c:dPt>
            <c:idx val="6"/>
            <c:invertIfNegative val="0"/>
            <c:bubble3D val="0"/>
            <c:spPr>
              <a:solidFill>
                <a:srgbClr val="F7B4AE"/>
              </a:solidFill>
              <a:ln w="63500" cap="flat" cmpd="sng" algn="ctr">
                <a:solidFill>
                  <a:srgbClr val="F7B4A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99C9-4BCE-B5BA-2BE609464F52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99C9-4BCE-B5BA-2BE609464F52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99C9-4BCE-B5BA-2BE609464F52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99C9-4BCE-B5BA-2BE609464F52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99C9-4BCE-B5BA-2BE609464F52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99C9-4BCE-B5BA-2BE609464F52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99C9-4BCE-B5BA-2BE609464F52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9C9-4BCE-B5BA-2BE609464F52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99C9-4BCE-B5BA-2BE609464F52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9C9-4BCE-B5BA-2BE609464F52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99C9-4BCE-B5BA-2BE609464F52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99C9-4BCE-B5BA-2BE609464F52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99C9-4BCE-B5BA-2BE609464F52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99C9-4BCE-B5BA-2BE609464F52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99C9-4BCE-B5BA-2BE609464F52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99C9-4BCE-B5BA-2BE609464F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12'!$E$2:$H$2</c:f>
              <c:strCache>
                <c:ptCount val="4"/>
                <c:pt idx="0">
                  <c:v>M. Pierre-Yves
TIERCE</c:v>
                </c:pt>
                <c:pt idx="1">
                  <c:v>Mme Isabelle
FARNET RISSO</c:v>
                </c:pt>
                <c:pt idx="2">
                  <c:v>Nuls</c:v>
                </c:pt>
                <c:pt idx="3">
                  <c:v>Blancs</c:v>
                </c:pt>
              </c:strCache>
            </c:strRef>
          </c:cat>
          <c:val>
            <c:numRef>
              <c:f>'Bureau 12'!$E$14:$H$14</c:f>
              <c:numCache>
                <c:formatCode>0.00%</c:formatCode>
                <c:ptCount val="4"/>
                <c:pt idx="0">
                  <c:v>0.51333333333333331</c:v>
                </c:pt>
                <c:pt idx="1">
                  <c:v>0.44666666666666666</c:v>
                </c:pt>
                <c:pt idx="2">
                  <c:v>0.02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9C9-4BCE-B5BA-2BE609464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12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12'!$M$2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8B5-4C55-B252-2687EECF99DD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8B5-4C55-B252-2687EECF99DD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8B5-4C55-B252-2687EECF99DD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8B5-4C55-B252-2687EECF99DD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8B5-4C55-B252-2687EECF99DD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8B5-4C55-B252-2687EECF99DD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88B5-4C55-B252-2687EECF99DD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8B5-4C55-B252-2687EECF99DD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88B5-4C55-B252-2687EECF99DD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88B5-4C55-B252-2687EECF99DD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88B5-4C55-B252-2687EECF99DD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88B5-4C55-B252-2687EECF99DD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88B5-4C55-B252-2687EECF99D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12'!$K$3:$K$15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12'!$M$3:$M$15</c:f>
              <c:numCache>
                <c:formatCode>0.00%</c:formatCode>
                <c:ptCount val="13"/>
                <c:pt idx="0">
                  <c:v>0</c:v>
                </c:pt>
                <c:pt idx="1">
                  <c:v>1.4684287812041116E-2</c:v>
                </c:pt>
                <c:pt idx="2">
                  <c:v>6.6079295154185022E-2</c:v>
                </c:pt>
                <c:pt idx="3">
                  <c:v>0.14390602055800295</c:v>
                </c:pt>
                <c:pt idx="4">
                  <c:v>0.23201174743024963</c:v>
                </c:pt>
                <c:pt idx="5">
                  <c:v>0.28487518355359764</c:v>
                </c:pt>
                <c:pt idx="6">
                  <c:v>0.30837004405286345</c:v>
                </c:pt>
                <c:pt idx="7">
                  <c:v>0.35095447870778268</c:v>
                </c:pt>
                <c:pt idx="8">
                  <c:v>0.38179148311306904</c:v>
                </c:pt>
                <c:pt idx="9">
                  <c:v>0.42143906020558003</c:v>
                </c:pt>
                <c:pt idx="10">
                  <c:v>0.44052863436123346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8B5-4C55-B252-2687EECF9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Affluence horaire du bureau 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12'!$P$2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A72-4C65-BB5C-4449B2F13ED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A72-4C65-BB5C-4449B2F13EDD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A72-4C65-BB5C-4449B2F13EDD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A72-4C65-BB5C-4449B2F13EDD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A72-4C65-BB5C-4449B2F13EDD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A72-4C65-BB5C-4449B2F13EDD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9A72-4C65-BB5C-4449B2F13EDD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A72-4C65-BB5C-4449B2F13EDD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9A72-4C65-BB5C-4449B2F13EDD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A72-4C65-BB5C-4449B2F13EDD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9A72-4C65-BB5C-4449B2F13EDD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9A72-4C65-BB5C-4449B2F13EDD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9A72-4C65-BB5C-4449B2F13EDD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12'!$O$4:$O$15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12'!$P$4:$P$15</c:f>
              <c:numCache>
                <c:formatCode>General</c:formatCode>
                <c:ptCount val="12"/>
                <c:pt idx="0">
                  <c:v>10</c:v>
                </c:pt>
                <c:pt idx="1">
                  <c:v>35</c:v>
                </c:pt>
                <c:pt idx="2">
                  <c:v>53</c:v>
                </c:pt>
                <c:pt idx="3">
                  <c:v>60</c:v>
                </c:pt>
                <c:pt idx="4">
                  <c:v>36</c:v>
                </c:pt>
                <c:pt idx="5">
                  <c:v>16</c:v>
                </c:pt>
                <c:pt idx="6">
                  <c:v>29</c:v>
                </c:pt>
                <c:pt idx="7">
                  <c:v>21</c:v>
                </c:pt>
                <c:pt idx="8">
                  <c:v>27</c:v>
                </c:pt>
                <c:pt idx="9">
                  <c:v>13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72-4C65-BB5C-4449B2F13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6577899034613"/>
          <c:y val="5.9758604379399574E-2"/>
          <c:w val="0.72831260699770728"/>
          <c:h val="0.65696149230059531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92D050"/>
            </a:solidFill>
            <a:ln w="25400" cmpd="sng">
              <a:solidFill>
                <a:schemeClr val="accent3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 cmpd="sng">
                <a:solidFill>
                  <a:schemeClr val="accent3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67F-4B32-9431-FF4402D00F1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 cmpd="sng"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67F-4B32-9431-FF4402D00F1A}"/>
              </c:ext>
            </c:extLst>
          </c:dPt>
          <c:dPt>
            <c:idx val="2"/>
            <c:invertIfNegative val="1"/>
            <c:bubble3D val="0"/>
            <c:spPr>
              <a:solidFill>
                <a:srgbClr val="D1F1DA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67F-4B32-9431-FF4402D00F1A}"/>
              </c:ext>
            </c:extLst>
          </c:dPt>
          <c:dPt>
            <c:idx val="3"/>
            <c:invertIfNegative val="1"/>
            <c:bubble3D val="0"/>
            <c:spPr>
              <a:solidFill>
                <a:srgbClr val="D1F1DA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67F-4B32-9431-FF4402D00F1A}"/>
              </c:ext>
            </c:extLst>
          </c:dPt>
          <c:dPt>
            <c:idx val="4"/>
            <c:invertIfNegative val="1"/>
            <c:bubble3D val="0"/>
            <c:spPr>
              <a:solidFill>
                <a:srgbClr val="FFE1CC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67F-4B32-9431-FF4402D00F1A}"/>
              </c:ext>
            </c:extLst>
          </c:dPt>
          <c:dPt>
            <c:idx val="5"/>
            <c:invertIfNegative val="1"/>
            <c:bubble3D val="0"/>
            <c:spPr>
              <a:solidFill>
                <a:srgbClr val="B3CEFB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67F-4B32-9431-FF4402D00F1A}"/>
              </c:ext>
            </c:extLst>
          </c:dPt>
          <c:dPt>
            <c:idx val="6"/>
            <c:invertIfNegative val="1"/>
            <c:bubble3D val="0"/>
            <c:spPr>
              <a:solidFill>
                <a:srgbClr val="F7B4AE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D67F-4B32-9431-FF4402D00F1A}"/>
              </c:ext>
            </c:extLst>
          </c:dPt>
          <c:dPt>
            <c:idx val="7"/>
            <c:invertIfNegative val="1"/>
            <c:bubble3D val="0"/>
            <c:spPr>
              <a:solidFill>
                <a:srgbClr val="F28E86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D67F-4B32-9431-FF4402D00F1A}"/>
              </c:ext>
            </c:extLst>
          </c:dPt>
          <c:dPt>
            <c:idx val="8"/>
            <c:invertIfNegative val="1"/>
            <c:bubble3D val="0"/>
            <c:spPr>
              <a:solidFill>
                <a:srgbClr val="C22114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D67F-4B32-9431-FF4402D00F1A}"/>
              </c:ext>
            </c:extLst>
          </c:dPt>
          <c:dPt>
            <c:idx val="9"/>
            <c:invertIfNegative val="1"/>
            <c:bubble3D val="0"/>
            <c:spPr>
              <a:solidFill>
                <a:srgbClr val="81160E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D67F-4B32-9431-FF4402D00F1A}"/>
              </c:ext>
            </c:extLst>
          </c:dPt>
          <c:dPt>
            <c:idx val="10"/>
            <c:invertIfNegative val="1"/>
            <c:bubble3D val="0"/>
            <c:spPr>
              <a:solidFill>
                <a:srgbClr val="FEF2CD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D67F-4B32-9431-FF4402D00F1A}"/>
              </c:ext>
            </c:extLst>
          </c:dPt>
          <c:dPt>
            <c:idx val="11"/>
            <c:invertIfNegative val="1"/>
            <c:bubble3D val="0"/>
            <c:spPr>
              <a:solidFill>
                <a:srgbClr val="FDE49B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D67F-4B32-9431-FF4402D00F1A}"/>
              </c:ext>
            </c:extLst>
          </c:dPt>
          <c:dPt>
            <c:idx val="12"/>
            <c:invertIfNegative val="1"/>
            <c:bubble3D val="0"/>
            <c:spPr>
              <a:solidFill>
                <a:srgbClr val="FDD868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D67F-4B32-9431-FF4402D00F1A}"/>
              </c:ext>
            </c:extLst>
          </c:dPt>
          <c:dPt>
            <c:idx val="13"/>
            <c:invertIfNegative val="1"/>
            <c:bubble3D val="0"/>
            <c:spPr>
              <a:solidFill>
                <a:srgbClr val="BC8E03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D67F-4B32-9431-FF4402D00F1A}"/>
              </c:ext>
            </c:extLst>
          </c:dPt>
          <c:dPt>
            <c:idx val="14"/>
            <c:invertIfNegative val="1"/>
            <c:bubble3D val="0"/>
            <c:spPr>
              <a:solidFill>
                <a:srgbClr val="7D5F02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D67F-4B32-9431-FF4402D00F1A}"/>
              </c:ext>
            </c:extLst>
          </c:dPt>
          <c:dPt>
            <c:idx val="15"/>
            <c:invertIfNegative val="1"/>
            <c:bubble3D val="0"/>
            <c:spPr>
              <a:solidFill>
                <a:srgbClr val="D1F1DA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D67F-4B32-9431-FF4402D00F1A}"/>
              </c:ext>
            </c:extLst>
          </c:dPt>
          <c:dPt>
            <c:idx val="16"/>
            <c:invertIfNegative val="1"/>
            <c:bubble3D val="0"/>
            <c:spPr>
              <a:solidFill>
                <a:srgbClr val="A6E3B7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D67F-4B32-9431-FF4402D00F1A}"/>
              </c:ext>
            </c:extLst>
          </c:dPt>
          <c:dPt>
            <c:idx val="17"/>
            <c:invertIfNegative val="1"/>
            <c:bubble3D val="0"/>
            <c:spPr>
              <a:solidFill>
                <a:srgbClr val="7AD694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D67F-4B32-9431-FF4402D00F1A}"/>
              </c:ext>
            </c:extLst>
          </c:dPt>
          <c:dPt>
            <c:idx val="18"/>
            <c:invertIfNegative val="1"/>
            <c:bubble3D val="0"/>
            <c:spPr>
              <a:solidFill>
                <a:srgbClr val="277E40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D67F-4B32-9431-FF4402D00F1A}"/>
              </c:ext>
            </c:extLst>
          </c:dPt>
          <c:dPt>
            <c:idx val="19"/>
            <c:invertIfNegative val="1"/>
            <c:bubble3D val="0"/>
            <c:spPr>
              <a:solidFill>
                <a:srgbClr val="1A5529"/>
              </a:solidFill>
              <a:ln w="25400" cmpd="sng">
                <a:solidFill>
                  <a:schemeClr val="accent3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D67F-4B32-9431-FF4402D00F1A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/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Synthèse!$L$2:$M$2</c:f>
              <c:strCache>
                <c:ptCount val="2"/>
                <c:pt idx="0">
                  <c:v>M. Pierre-Yves
TIERCE</c:v>
                </c:pt>
                <c:pt idx="1">
                  <c:v>Mme Isabelle
FARNET RISSO</c:v>
                </c:pt>
              </c:strCache>
            </c:strRef>
          </c:cat>
          <c:val>
            <c:numRef>
              <c:f>Synthèse!$L$16:$M$16</c:f>
              <c:numCache>
                <c:formatCode>0.00%</c:formatCode>
                <c:ptCount val="2"/>
                <c:pt idx="0">
                  <c:v>0.46220930232558138</c:v>
                </c:pt>
                <c:pt idx="1">
                  <c:v>0.53779069767441856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25400" cmpd="sng">
                    <a:solidFill>
                      <a:schemeClr val="accent3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Synthèse!#REF!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28-D67F-4B32-9431-FF4402D00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046569049"/>
        <c:axId val="2087855260"/>
      </c:barChart>
      <c:catAx>
        <c:axId val="20465690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3200"/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  <c:max val="1"/>
          <c:min val="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>
              <a:defRPr sz="2800"/>
            </a:pPr>
            <a:endParaRPr lang="fr-FR"/>
          </a:p>
        </c:txPr>
        <c:crossAx val="2046569049"/>
        <c:crosses val="autoZero"/>
        <c:crossBetween val="between"/>
        <c:majorUnit val="0.1"/>
      </c:valAx>
    </c:plotArea>
    <c:plotVisOnly val="1"/>
    <c:dispBlanksAs val="zero"/>
    <c:showDLblsOverMax val="1"/>
  </c:chart>
  <c:spPr>
    <a:solidFill>
      <a:srgbClr val="EFEFEF"/>
    </a:solidFill>
  </c:spPr>
  <c:txPr>
    <a:bodyPr/>
    <a:lstStyle/>
    <a:p>
      <a:pPr>
        <a:defRPr sz="1600">
          <a:latin typeface="Marianne" panose="02000000000000000000" pitchFamily="50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/>
            </a:pPr>
            <a:r>
              <a:rPr lang="fr-FR" sz="3200" b="0"/>
              <a:t>Taux de participation</a:t>
            </a:r>
          </a:p>
        </c:rich>
      </c:tx>
      <c:layout>
        <c:manualLayout>
          <c:xMode val="edge"/>
          <c:yMode val="edge"/>
          <c:x val="0.11302423355604603"/>
          <c:y val="0.10681963746878914"/>
        </c:manualLayout>
      </c:layout>
      <c:overlay val="1"/>
      <c:spPr>
        <a:solidFill>
          <a:schemeClr val="bg1">
            <a:alpha val="50000"/>
          </a:schemeClr>
        </a:solidFill>
      </c:spPr>
    </c:title>
    <c:autoTitleDeleted val="0"/>
    <c:plotArea>
      <c:layout>
        <c:manualLayout>
          <c:layoutTarget val="inner"/>
          <c:xMode val="edge"/>
          <c:yMode val="edge"/>
          <c:x val="8.6144169018148198E-2"/>
          <c:y val="0.10097475533105395"/>
          <c:w val="0.79218480960626414"/>
          <c:h val="0.75944165428887944"/>
        </c:manualLayout>
      </c:layout>
      <c:lineChart>
        <c:grouping val="standard"/>
        <c:varyColors val="1"/>
        <c:ser>
          <c:idx val="13"/>
          <c:order val="0"/>
          <c:tx>
            <c:v>1er tour</c:v>
          </c:tx>
          <c:spPr>
            <a:ln w="50800">
              <a:solidFill>
                <a:schemeClr val="bg1">
                  <a:lumMod val="50000"/>
                  <a:alpha val="60000"/>
                </a:schemeClr>
              </a:solidFill>
              <a:prstDash val="sysDash"/>
            </a:ln>
          </c:spPr>
          <c:marker>
            <c:symbol val="none"/>
          </c:marker>
          <c:cat>
            <c:strRef>
              <c:f>'Participation horaire'!$T$38:$T$48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  <c:extLst/>
            </c:strRef>
          </c:cat>
          <c:val>
            <c:numRef>
              <c:f>('Participation horaire'!$AG$38,'Participation horaire'!$AF$14:$AO$14)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4.8272482234746387E-2</c:v>
                </c:pt>
                <c:pt idx="2">
                  <c:v>0.11455525606469003</c:v>
                </c:pt>
                <c:pt idx="3">
                  <c:v>0.20779220779220781</c:v>
                </c:pt>
                <c:pt idx="4">
                  <c:v>0.30531732418524871</c:v>
                </c:pt>
                <c:pt idx="5">
                  <c:v>0.36535162950257288</c:v>
                </c:pt>
                <c:pt idx="6">
                  <c:v>0.4164420485175202</c:v>
                </c:pt>
                <c:pt idx="7">
                  <c:v>0.47096299926488605</c:v>
                </c:pt>
                <c:pt idx="8">
                  <c:v>0.5204606714040676</c:v>
                </c:pt>
                <c:pt idx="9">
                  <c:v>0.54949767213918155</c:v>
                </c:pt>
                <c:pt idx="10">
                  <c:v>0.57363391325655477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9D4B-4423-BC19-CF5D8FEBECA2}"/>
            </c:ext>
          </c:extLst>
        </c:ser>
        <c:ser>
          <c:idx val="12"/>
          <c:order val="1"/>
          <c:tx>
            <c:v>2nd tour</c:v>
          </c:tx>
          <c:spPr>
            <a:ln w="38100" cap="rnd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circle"/>
            <c:size val="7"/>
            <c:spPr>
              <a:solidFill>
                <a:srgbClr val="000000"/>
              </a:solidFill>
              <a:ln w="31750" cap="rnd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c:spPr>
          </c:marker>
          <c:dLbls>
            <c:numFmt formatCode="0.0%" sourceLinked="0"/>
            <c:spPr>
              <a:solidFill>
                <a:srgbClr val="FFFFFF">
                  <a:alpha val="50196"/>
                </a:srgbClr>
              </a:solidFill>
              <a:ln>
                <a:noFill/>
              </a:ln>
              <a:effectLst/>
            </c:spPr>
            <c:txPr>
              <a:bodyPr rot="0" vertOverflow="overflow" horzOverflow="overflow" vert="horz" wrap="square" lIns="38100" tIns="19050" rIns="38100" bIns="108000" anchor="t" anchorCtr="0">
                <a:spAutoFit/>
              </a:bodyPr>
              <a:lstStyle/>
              <a:p>
                <a:pPr>
                  <a:defRPr sz="2200" b="1">
                    <a:ln>
                      <a:noFill/>
                    </a:ln>
                    <a:solidFill>
                      <a:schemeClr val="dk1"/>
                    </a:solidFill>
                    <a:effectLst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'Participation horaire'!$T$38:$T$48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  <c:extLst/>
            </c:strRef>
          </c:cat>
          <c:val>
            <c:numRef>
              <c:f>'Participation horaire'!$S$38:$S$48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5.6093080220453152E-2</c:v>
                </c:pt>
                <c:pt idx="2">
                  <c:v>0.12933251684017147</c:v>
                </c:pt>
                <c:pt idx="3">
                  <c:v>0.22645437844458052</c:v>
                </c:pt>
                <c:pt idx="4">
                  <c:v>0.31843233312921004</c:v>
                </c:pt>
                <c:pt idx="5">
                  <c:v>0.38493570116350273</c:v>
                </c:pt>
                <c:pt idx="6">
                  <c:v>0.42180036742192284</c:v>
                </c:pt>
                <c:pt idx="7">
                  <c:v>0.4640538885486834</c:v>
                </c:pt>
                <c:pt idx="8">
                  <c:v>0.5045927740355175</c:v>
                </c:pt>
                <c:pt idx="9">
                  <c:v>0.54439681567666875</c:v>
                </c:pt>
                <c:pt idx="10">
                  <c:v>0.56962645437844461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3-453C-8FEA-EA6F406B7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155108"/>
        <c:axId val="555101647"/>
        <c:extLst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800"/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>
              <a:defRPr sz="1800"/>
            </a:pPr>
            <a:endParaRPr lang="fr-FR"/>
          </a:p>
        </c:txPr>
        <c:crossAx val="16001551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586043241208745"/>
          <c:y val="0.19633307980311124"/>
          <c:w val="9.8626204680958757E-2"/>
          <c:h val="0.51978527988629364"/>
        </c:manualLayout>
      </c:layout>
      <c:overlay val="0"/>
      <c:txPr>
        <a:bodyPr/>
        <a:lstStyle/>
        <a:p>
          <a:pPr>
            <a:defRPr sz="2000"/>
          </a:pPr>
          <a:endParaRPr lang="fr-FR"/>
        </a:p>
      </c:txPr>
    </c:legend>
    <c:plotVisOnly val="1"/>
    <c:dispBlanksAs val="zero"/>
    <c:showDLblsOverMax val="1"/>
    <c:extLst/>
  </c:chart>
  <c:spPr>
    <a:solidFill>
      <a:srgbClr val="EFEFEF"/>
    </a:solidFill>
  </c:spPr>
  <c:txPr>
    <a:bodyPr/>
    <a:lstStyle/>
    <a:p>
      <a:pPr>
        <a:defRPr>
          <a:latin typeface="Marianne" panose="02000000000000000000" pitchFamily="50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 b="0"/>
            </a:pPr>
            <a:r>
              <a:rPr lang="fr-FR" sz="3200" b="0"/>
              <a:t>Affluence horaire</a:t>
            </a:r>
          </a:p>
        </c:rich>
      </c:tx>
      <c:layout>
        <c:manualLayout>
          <c:xMode val="edge"/>
          <c:yMode val="edge"/>
          <c:x val="0.53143596916609681"/>
          <c:y val="3.976892007670025E-2"/>
        </c:manualLayout>
      </c:layout>
      <c:overlay val="0"/>
      <c:spPr>
        <a:solidFill>
          <a:schemeClr val="bg1">
            <a:alpha val="50000"/>
          </a:schemeClr>
        </a:solidFill>
      </c:spPr>
    </c:title>
    <c:autoTitleDeleted val="0"/>
    <c:plotArea>
      <c:layout>
        <c:manualLayout>
          <c:layoutTarget val="inner"/>
          <c:xMode val="edge"/>
          <c:yMode val="edge"/>
          <c:x val="8.0143239525911653E-2"/>
          <c:y val="3.7805991968525417E-2"/>
          <c:w val="0.81485270754694195"/>
          <c:h val="0.76589436050223447"/>
        </c:manualLayout>
      </c:layout>
      <c:barChart>
        <c:barDir val="col"/>
        <c:grouping val="clustered"/>
        <c:varyColors val="1"/>
        <c:ser>
          <c:idx val="13"/>
          <c:order val="0"/>
          <c:tx>
            <c:v>1er tour</c:v>
          </c:tx>
          <c:spPr>
            <a:pattFill prst="wdDnDiag">
              <a:fgClr>
                <a:schemeClr val="bg1">
                  <a:lumMod val="75000"/>
                </a:schemeClr>
              </a:fgClr>
              <a:bgClr>
                <a:schemeClr val="bg1">
                  <a:lumMod val="95000"/>
                </a:schemeClr>
              </a:bgClr>
            </a:pattFill>
            <a:ln w="31750">
              <a:solidFill>
                <a:schemeClr val="bg1">
                  <a:lumMod val="50000"/>
                  <a:alpha val="70000"/>
                </a:schemeClr>
              </a:solidFill>
              <a:prstDash val="dash"/>
            </a:ln>
          </c:spPr>
          <c:invertIfNegative val="0"/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C8C7-4860-B0AE-D11CE030E8A2}"/>
              </c:ext>
            </c:extLst>
          </c:dPt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horaire'!$AG$54:$AG$63</c:f>
              <c:numCache>
                <c:formatCode>General</c:formatCode>
                <c:ptCount val="10"/>
                <c:pt idx="0">
                  <c:v>394</c:v>
                </c:pt>
                <c:pt idx="1">
                  <c:v>545</c:v>
                </c:pt>
                <c:pt idx="2">
                  <c:v>757</c:v>
                </c:pt>
                <c:pt idx="3">
                  <c:v>796</c:v>
                </c:pt>
                <c:pt idx="4">
                  <c:v>470</c:v>
                </c:pt>
                <c:pt idx="5">
                  <c:v>437</c:v>
                </c:pt>
                <c:pt idx="6">
                  <c:v>445</c:v>
                </c:pt>
                <c:pt idx="7">
                  <c:v>404</c:v>
                </c:pt>
                <c:pt idx="8">
                  <c:v>237</c:v>
                </c:pt>
                <c:pt idx="9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8C7-4860-B0AE-D11CE030E8A2}"/>
            </c:ext>
          </c:extLst>
        </c:ser>
        <c:ser>
          <c:idx val="0"/>
          <c:order val="1"/>
          <c:tx>
            <c:v>2nd tour</c:v>
          </c:tx>
          <c:spPr>
            <a:solidFill>
              <a:schemeClr val="tx1"/>
            </a:solidFill>
            <a:ln w="4445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dLbls>
            <c:spPr>
              <a:solidFill>
                <a:srgbClr val="F8F8F8">
                  <a:alpha val="50196"/>
                </a:srgb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 b="1"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horaire'!$S$54:$S$63</c:f>
              <c:numCache>
                <c:formatCode>General</c:formatCode>
                <c:ptCount val="10"/>
                <c:pt idx="0">
                  <c:v>458</c:v>
                </c:pt>
                <c:pt idx="1">
                  <c:v>598</c:v>
                </c:pt>
                <c:pt idx="2">
                  <c:v>793</c:v>
                </c:pt>
                <c:pt idx="3">
                  <c:v>751</c:v>
                </c:pt>
                <c:pt idx="4">
                  <c:v>543</c:v>
                </c:pt>
                <c:pt idx="5">
                  <c:v>301</c:v>
                </c:pt>
                <c:pt idx="6">
                  <c:v>345</c:v>
                </c:pt>
                <c:pt idx="7">
                  <c:v>331</c:v>
                </c:pt>
                <c:pt idx="8">
                  <c:v>325</c:v>
                </c:pt>
                <c:pt idx="9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8C7-4860-B0AE-D11CE030E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1800000" vert="horz" anchor="ctr" anchorCtr="0"/>
          <a:lstStyle/>
          <a:p>
            <a:pPr>
              <a:defRPr sz="2000"/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>
              <a:defRPr sz="2000"/>
            </a:pPr>
            <a:endParaRPr lang="fr-FR"/>
          </a:p>
        </c:txPr>
        <c:crossAx val="16001551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12457568028317"/>
          <c:y val="0.22300559409847615"/>
          <c:w val="8.7157242619829392E-2"/>
          <c:h val="0.57135638951275025"/>
        </c:manualLayout>
      </c:layout>
      <c:overlay val="0"/>
      <c:spPr>
        <a:ln>
          <a:noFill/>
        </a:ln>
      </c:spPr>
      <c:txPr>
        <a:bodyPr/>
        <a:lstStyle/>
        <a:p>
          <a:pPr>
            <a:defRPr sz="2000"/>
          </a:pPr>
          <a:endParaRPr lang="fr-FR"/>
        </a:p>
      </c:txPr>
    </c:legend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txPr>
    <a:bodyPr/>
    <a:lstStyle/>
    <a:p>
      <a:pPr>
        <a:defRPr sz="1400">
          <a:latin typeface="Marianne" panose="02000000000000000000" pitchFamily="50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2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25977</xdr:colOff>
      <xdr:row>17</xdr:row>
      <xdr:rowOff>142874</xdr:rowOff>
    </xdr:from>
    <xdr:ext cx="9574357" cy="2861829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29747</xdr:colOff>
      <xdr:row>16</xdr:row>
      <xdr:rowOff>110070</xdr:rowOff>
    </xdr:from>
    <xdr:ext cx="14754905" cy="604264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469900</xdr:colOff>
          <xdr:row>4</xdr:row>
          <xdr:rowOff>133350</xdr:rowOff>
        </xdr:from>
        <xdr:to>
          <xdr:col>38</xdr:col>
          <xdr:colOff>69850</xdr:colOff>
          <xdr:row>8</xdr:row>
          <xdr:rowOff>57150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fr-FR" sz="12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Importer la participation du tour précédent</a:t>
              </a:r>
            </a:p>
          </xdr:txBody>
        </xdr:sp>
        <xdr:clientData fLocksWithSheet="0" fPrintsWithSheet="0"/>
      </xdr:twoCellAnchor>
    </mc:Choice>
    <mc:Fallback/>
  </mc:AlternateContent>
  <xdr:oneCellAnchor>
    <xdr:from>
      <xdr:col>4</xdr:col>
      <xdr:colOff>18464</xdr:colOff>
      <xdr:row>50</xdr:row>
      <xdr:rowOff>124978</xdr:rowOff>
    </xdr:from>
    <xdr:ext cx="14754905" cy="6021473"/>
    <xdr:graphicFrame macro="">
      <xdr:nvGraphicFramePr>
        <xdr:cNvPr id="33" name="GraphAffluence" title="Graphique">
          <a:extLst>
            <a:ext uri="{FF2B5EF4-FFF2-40B4-BE49-F238E27FC236}">
              <a16:creationId xmlns:a16="http://schemas.microsoft.com/office/drawing/2014/main" id="{74DF2783-1E83-4097-AFA3-C9E5994D9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C96CA7F9-B343-4769-BC49-55A70888F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D9391119-FCDB-4049-AC59-9B364848D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A96367CC-BC1E-4DE8-8548-82F9FB238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EBF243AC-D7FD-4BDD-9AD1-E3B0E9BC1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B5B6F170-2FFE-4200-AD64-7CCD72B1D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59AF1EA9-DA69-43F2-882E-61A5C33A7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5D192545-BBC0-45F6-8A2C-45B4875D4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210AF72E-EF61-44F5-9D8F-D7F531986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92044D41-80D2-4BF2-B120-73BEAA216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BFE19852-C9A9-4B52-AAB7-0B4381B2B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F720CEBB-4782-4B37-B022-C4A04A200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18E8F2F4-147E-4757-9C92-40FDF1243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79FAE472-4323-4B30-80F8-29F025B42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EBF955E4-60DC-4F2E-BEE4-5A3BEC813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7F501D24-B807-4FF5-AA72-E37EBCB7D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2FE258DF-7116-41A8-B9E0-66A5DB627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033EC837-13A6-4D37-A5CA-55AC9A030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8904D481-724F-4D0B-89DF-70DC01728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CEDD48BD-020C-4E5C-A1BE-CF14B38AC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DC58B59C-28E7-473C-92FB-310E089B2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7A26CF43-F25E-4760-8F8A-71D1FFD5A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5ADC7D1A-D1A2-4370-96F7-C5C15965A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4AF55D2D-A7B9-4DB4-86F9-1D34ED15A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6824C88D-5F2B-4EF6-B3AB-BEE79779C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35328A8B-8C0E-46E0-A0DA-84589BE18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5B5CC692-C34B-46A9-AA1E-B61FFDC61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C9926F26-8129-4A65-9FF3-928B6100B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7B950163-B7BB-48B4-989F-CD807BE6C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2142E9E6-3E36-466A-B8DC-C243163BB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293717A8-AF7A-448A-BEB1-F7C72BE4E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05F9652D-14AF-49FA-B523-D1EB7446B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DC6BAA40-F091-4F6D-AF02-E19E8A9FF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17569E82-B1D6-403C-886B-570C1F06FB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148133</xdr:colOff>
      <xdr:row>15</xdr:row>
      <xdr:rowOff>144845</xdr:rowOff>
    </xdr:from>
    <xdr:ext cx="6635783" cy="3908572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C0B0AF67-5098-411B-A100-F15463A01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471FD5DF-8BAA-4E45-BA8C-99A8A80AC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33490879-0EB0-4198-8CA2-CC7644C5D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18</xdr:row>
      <xdr:rowOff>31750</xdr:rowOff>
    </xdr:from>
    <xdr:ext cx="15944851" cy="4492625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C06C0DAA-701A-4012-9D82-F9C1F8FFC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27</xdr:col>
      <xdr:colOff>9525</xdr:colOff>
      <xdr:row>2</xdr:row>
      <xdr:rowOff>28575</xdr:rowOff>
    </xdr:from>
    <xdr:ext cx="11725275" cy="85915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D74882AA-B210-4925-9253-A7D5D10472D1}"/>
            </a:ext>
            <a:ext uri="{147F2762-F138-4A5C-976F-8EAC2B608ADB}">
              <a16:predDERef xmlns:a16="http://schemas.microsoft.com/office/drawing/2014/main" pred="{C06C0DAA-701A-4012-9D82-F9C1F8FFC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12</xdr:col>
      <xdr:colOff>466726</xdr:colOff>
      <xdr:row>22</xdr:row>
      <xdr:rowOff>223309</xdr:rowOff>
    </xdr:from>
    <xdr:to>
      <xdr:col>14</xdr:col>
      <xdr:colOff>476250</xdr:colOff>
      <xdr:row>27</xdr:row>
      <xdr:rowOff>7560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2374987-1987-F10F-3F26-B20F4C304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8678526" y="10186459"/>
          <a:ext cx="1704974" cy="1975001"/>
        </a:xfrm>
        <a:prstGeom prst="rect">
          <a:avLst/>
        </a:prstGeom>
      </xdr:spPr>
    </xdr:pic>
    <xdr:clientData/>
  </xdr:twoCellAnchor>
  <xdr:twoCellAnchor editAs="oneCell">
    <xdr:from>
      <xdr:col>20</xdr:col>
      <xdr:colOff>503094</xdr:colOff>
      <xdr:row>16</xdr:row>
      <xdr:rowOff>609600</xdr:rowOff>
    </xdr:from>
    <xdr:to>
      <xdr:col>21</xdr:col>
      <xdr:colOff>1733550</xdr:colOff>
      <xdr:row>22</xdr:row>
      <xdr:rowOff>14070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E26C7D7-D4B6-4B96-9BC2-B8EED56B3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6677794" y="7677150"/>
          <a:ext cx="1992456" cy="2509620"/>
        </a:xfrm>
        <a:prstGeom prst="rect">
          <a:avLst/>
        </a:prstGeom>
      </xdr:spPr>
    </xdr:pic>
    <xdr:clientData/>
  </xdr:twoCellAnchor>
  <xdr:oneCellAnchor>
    <xdr:from>
      <xdr:col>26</xdr:col>
      <xdr:colOff>247650</xdr:colOff>
      <xdr:row>16</xdr:row>
      <xdr:rowOff>361950</xdr:rowOff>
    </xdr:from>
    <xdr:ext cx="11772900" cy="5581650"/>
    <xdr:graphicFrame macro="">
      <xdr:nvGraphicFramePr>
        <xdr:cNvPr id="4" name="GraphAffluence" title="Graphique">
          <a:extLst>
            <a:ext uri="{FF2B5EF4-FFF2-40B4-BE49-F238E27FC236}">
              <a16:creationId xmlns:a16="http://schemas.microsoft.com/office/drawing/2014/main" id="{D6DAC9D6-E5D6-4F58-848D-ED88BAE7FA6D}"/>
            </a:ext>
            <a:ext uri="{147F2762-F138-4A5C-976F-8EAC2B608ADB}">
              <a16:predDERef xmlns:a16="http://schemas.microsoft.com/office/drawing/2014/main" pred="{8E26C7D7-D4B6-4B96-9BC2-B8EED56B3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200025</xdr:colOff>
      <xdr:row>6</xdr:row>
      <xdr:rowOff>0</xdr:rowOff>
    </xdr:from>
    <xdr:to>
      <xdr:col>23</xdr:col>
      <xdr:colOff>19050</xdr:colOff>
      <xdr:row>6</xdr:row>
      <xdr:rowOff>9525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0111884A-5A26-C04D-AAB3-39280A822080}"/>
            </a:ext>
          </a:extLst>
        </xdr:cNvPr>
        <xdr:cNvCxnSpPr/>
      </xdr:nvCxnSpPr>
      <xdr:spPr>
        <a:xfrm flipV="1">
          <a:off x="14011275" y="2409825"/>
          <a:ext cx="7934325" cy="9525"/>
        </a:xfrm>
        <a:prstGeom prst="straightConnector1">
          <a:avLst/>
        </a:prstGeom>
        <a:ln w="57150"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6</xdr:row>
      <xdr:rowOff>66675</xdr:rowOff>
    </xdr:from>
    <xdr:to>
      <xdr:col>11</xdr:col>
      <xdr:colOff>638175</xdr:colOff>
      <xdr:row>8</xdr:row>
      <xdr:rowOff>142875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DD0B4ED-243A-44B4-90D4-8DCA66860512}"/>
            </a:ext>
          </a:extLst>
        </xdr:cNvPr>
        <xdr:cNvCxnSpPr/>
      </xdr:nvCxnSpPr>
      <xdr:spPr>
        <a:xfrm flipV="1">
          <a:off x="8486775" y="2476500"/>
          <a:ext cx="2543175" cy="914400"/>
        </a:xfrm>
        <a:prstGeom prst="straightConnector1">
          <a:avLst/>
        </a:prstGeom>
        <a:ln w="57150">
          <a:solidFill>
            <a:schemeClr val="accent1">
              <a:lumMod val="40000"/>
              <a:lumOff val="6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1773442</xdr:colOff>
      <xdr:row>41</xdr:row>
      <xdr:rowOff>35882</xdr:rowOff>
    </xdr:from>
    <xdr:ext cx="12240232" cy="3616696"/>
    <xdr:sp macro="" textlink="">
      <xdr:nvSpPr>
        <xdr:cNvPr id="32" name="ZoneTexte 31">
          <a:extLst>
            <a:ext uri="{FF2B5EF4-FFF2-40B4-BE49-F238E27FC236}">
              <a16:creationId xmlns:a16="http://schemas.microsoft.com/office/drawing/2014/main" id="{F3E5AC01-23BE-DDCD-0E8F-B40812D3DA19}"/>
            </a:ext>
          </a:extLst>
        </xdr:cNvPr>
        <xdr:cNvSpPr txBox="1"/>
      </xdr:nvSpPr>
      <xdr:spPr>
        <a:xfrm rot="20826026">
          <a:off x="2834799" y="22147489"/>
          <a:ext cx="12240232" cy="3616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fr-FR" sz="23900" i="1" kern="1200">
              <a:solidFill>
                <a:srgbClr val="333333">
                  <a:alpha val="20000"/>
                </a:srgbClr>
              </a:solidFill>
            </a:rPr>
            <a:t>Exemple</a:t>
          </a:r>
          <a:endParaRPr lang="fr-FR" sz="16600" i="1" kern="1200">
            <a:solidFill>
              <a:srgbClr val="333333">
                <a:alpha val="20000"/>
              </a:srgbClr>
            </a:solidFill>
          </a:endParaRPr>
        </a:p>
      </xdr:txBody>
    </xdr:sp>
    <xdr:clientData/>
  </xdr:oneCellAnchor>
  <xdr:twoCellAnchor editAs="oneCell">
    <xdr:from>
      <xdr:col>0</xdr:col>
      <xdr:colOff>100163</xdr:colOff>
      <xdr:row>17</xdr:row>
      <xdr:rowOff>62935</xdr:rowOff>
    </xdr:from>
    <xdr:to>
      <xdr:col>0</xdr:col>
      <xdr:colOff>1014563</xdr:colOff>
      <xdr:row>18</xdr:row>
      <xdr:rowOff>458901</xdr:rowOff>
    </xdr:to>
    <xdr:pic>
      <xdr:nvPicPr>
        <xdr:cNvPr id="6" name="Graphique 2" descr="Informations contour">
          <a:extLst>
            <a:ext uri="{FF2B5EF4-FFF2-40B4-BE49-F238E27FC236}">
              <a16:creationId xmlns:a16="http://schemas.microsoft.com/office/drawing/2014/main" id="{9868C194-4EC3-C3A6-4EDB-8AA00FE68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4127" y="11016685"/>
          <a:ext cx="914400" cy="900792"/>
        </a:xfrm>
        <a:prstGeom prst="rect">
          <a:avLst/>
        </a:prstGeom>
      </xdr:spPr>
    </xdr:pic>
    <xdr:clientData/>
  </xdr:twoCellAnchor>
  <xdr:twoCellAnchor>
    <xdr:from>
      <xdr:col>5</xdr:col>
      <xdr:colOff>1415144</xdr:colOff>
      <xdr:row>40</xdr:row>
      <xdr:rowOff>435433</xdr:rowOff>
    </xdr:from>
    <xdr:to>
      <xdr:col>7</xdr:col>
      <xdr:colOff>244929</xdr:colOff>
      <xdr:row>50</xdr:row>
      <xdr:rowOff>163291</xdr:rowOff>
    </xdr:to>
    <xdr:sp macro="" textlink="">
      <xdr:nvSpPr>
        <xdr:cNvPr id="31" name="Flèche : en arc 30">
          <a:extLst>
            <a:ext uri="{FF2B5EF4-FFF2-40B4-BE49-F238E27FC236}">
              <a16:creationId xmlns:a16="http://schemas.microsoft.com/office/drawing/2014/main" id="{D8B21D7F-184E-4C23-8238-F422A16E0F42}"/>
            </a:ext>
          </a:extLst>
        </xdr:cNvPr>
        <xdr:cNvSpPr/>
      </xdr:nvSpPr>
      <xdr:spPr>
        <a:xfrm rot="5400000">
          <a:off x="16757197" y="23193380"/>
          <a:ext cx="4177394" cy="1959428"/>
        </a:xfrm>
        <a:prstGeom prst="circularArrow">
          <a:avLst>
            <a:gd name="adj1" fmla="val 5748"/>
            <a:gd name="adj2" fmla="val 911249"/>
            <a:gd name="adj3" fmla="val 20622878"/>
            <a:gd name="adj4" fmla="val 10868399"/>
            <a:gd name="adj5" fmla="val 21302"/>
          </a:avLst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2979964</xdr:colOff>
      <xdr:row>42</xdr:row>
      <xdr:rowOff>54429</xdr:rowOff>
    </xdr:from>
    <xdr:to>
      <xdr:col>2</xdr:col>
      <xdr:colOff>0</xdr:colOff>
      <xdr:row>42</xdr:row>
      <xdr:rowOff>530679</xdr:rowOff>
    </xdr:to>
    <xdr:sp macro="" textlink="">
      <xdr:nvSpPr>
        <xdr:cNvPr id="33" name="Rectangle : coins arrondis 32">
          <a:extLst>
            <a:ext uri="{FF2B5EF4-FFF2-40B4-BE49-F238E27FC236}">
              <a16:creationId xmlns:a16="http://schemas.microsoft.com/office/drawing/2014/main" id="{1EEB6DE6-2C14-4DAD-95A4-304823A499A5}"/>
            </a:ext>
          </a:extLst>
        </xdr:cNvPr>
        <xdr:cNvSpPr/>
      </xdr:nvSpPr>
      <xdr:spPr>
        <a:xfrm>
          <a:off x="4041321" y="22751143"/>
          <a:ext cx="693965" cy="476250"/>
        </a:xfrm>
        <a:prstGeom prst="round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2</xdr:col>
      <xdr:colOff>2789466</xdr:colOff>
      <xdr:row>42</xdr:row>
      <xdr:rowOff>54429</xdr:rowOff>
    </xdr:from>
    <xdr:to>
      <xdr:col>2</xdr:col>
      <xdr:colOff>3483431</xdr:colOff>
      <xdr:row>42</xdr:row>
      <xdr:rowOff>530679</xdr:rowOff>
    </xdr:to>
    <xdr:sp macro="" textlink="">
      <xdr:nvSpPr>
        <xdr:cNvPr id="34" name="Rectangle : coins arrondis 33">
          <a:extLst>
            <a:ext uri="{FF2B5EF4-FFF2-40B4-BE49-F238E27FC236}">
              <a16:creationId xmlns:a16="http://schemas.microsoft.com/office/drawing/2014/main" id="{504BDBA0-1A6F-45D6-89EE-DE014E14CF68}"/>
            </a:ext>
          </a:extLst>
        </xdr:cNvPr>
        <xdr:cNvSpPr/>
      </xdr:nvSpPr>
      <xdr:spPr>
        <a:xfrm>
          <a:off x="7524752" y="22751143"/>
          <a:ext cx="693965" cy="476250"/>
        </a:xfrm>
        <a:prstGeom prst="round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3</xdr:col>
      <xdr:colOff>2982685</xdr:colOff>
      <xdr:row>42</xdr:row>
      <xdr:rowOff>57151</xdr:rowOff>
    </xdr:from>
    <xdr:to>
      <xdr:col>4</xdr:col>
      <xdr:colOff>2721</xdr:colOff>
      <xdr:row>42</xdr:row>
      <xdr:rowOff>533401</xdr:rowOff>
    </xdr:to>
    <xdr:sp macro="" textlink="">
      <xdr:nvSpPr>
        <xdr:cNvPr id="35" name="Rectangle : coins arrondis 34">
          <a:extLst>
            <a:ext uri="{FF2B5EF4-FFF2-40B4-BE49-F238E27FC236}">
              <a16:creationId xmlns:a16="http://schemas.microsoft.com/office/drawing/2014/main" id="{9B4B172C-5C36-45E2-AAF1-4B5BEF0C7517}"/>
            </a:ext>
          </a:extLst>
        </xdr:cNvPr>
        <xdr:cNvSpPr/>
      </xdr:nvSpPr>
      <xdr:spPr>
        <a:xfrm>
          <a:off x="11391899" y="22753865"/>
          <a:ext cx="693965" cy="476250"/>
        </a:xfrm>
        <a:prstGeom prst="round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4</xdr:col>
      <xdr:colOff>2887437</xdr:colOff>
      <xdr:row>42</xdr:row>
      <xdr:rowOff>57151</xdr:rowOff>
    </xdr:from>
    <xdr:to>
      <xdr:col>4</xdr:col>
      <xdr:colOff>3581402</xdr:colOff>
      <xdr:row>42</xdr:row>
      <xdr:rowOff>533401</xdr:rowOff>
    </xdr:to>
    <xdr:sp macro="" textlink="">
      <xdr:nvSpPr>
        <xdr:cNvPr id="36" name="Rectangle : coins arrondis 35">
          <a:extLst>
            <a:ext uri="{FF2B5EF4-FFF2-40B4-BE49-F238E27FC236}">
              <a16:creationId xmlns:a16="http://schemas.microsoft.com/office/drawing/2014/main" id="{34DB6653-F9C5-4000-9ECE-92162A36F8CA}"/>
            </a:ext>
          </a:extLst>
        </xdr:cNvPr>
        <xdr:cNvSpPr/>
      </xdr:nvSpPr>
      <xdr:spPr>
        <a:xfrm>
          <a:off x="14970580" y="22753865"/>
          <a:ext cx="693965" cy="476250"/>
        </a:xfrm>
        <a:prstGeom prst="round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1</xdr:col>
      <xdr:colOff>1445078</xdr:colOff>
      <xdr:row>41</xdr:row>
      <xdr:rowOff>57151</xdr:rowOff>
    </xdr:from>
    <xdr:to>
      <xdr:col>1</xdr:col>
      <xdr:colOff>2275115</xdr:colOff>
      <xdr:row>41</xdr:row>
      <xdr:rowOff>533401</xdr:rowOff>
    </xdr:to>
    <xdr:sp macro="" textlink="">
      <xdr:nvSpPr>
        <xdr:cNvPr id="37" name="Rectangle : coins arrondis 36">
          <a:extLst>
            <a:ext uri="{FF2B5EF4-FFF2-40B4-BE49-F238E27FC236}">
              <a16:creationId xmlns:a16="http://schemas.microsoft.com/office/drawing/2014/main" id="{D017A9AB-C992-462B-B11A-A87799808D24}"/>
            </a:ext>
          </a:extLst>
        </xdr:cNvPr>
        <xdr:cNvSpPr/>
      </xdr:nvSpPr>
      <xdr:spPr>
        <a:xfrm>
          <a:off x="2506435" y="22168758"/>
          <a:ext cx="830037" cy="476250"/>
        </a:xfrm>
        <a:prstGeom prst="round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2</xdr:col>
      <xdr:colOff>1404257</xdr:colOff>
      <xdr:row>41</xdr:row>
      <xdr:rowOff>57151</xdr:rowOff>
    </xdr:from>
    <xdr:to>
      <xdr:col>2</xdr:col>
      <xdr:colOff>2234294</xdr:colOff>
      <xdr:row>41</xdr:row>
      <xdr:rowOff>533401</xdr:rowOff>
    </xdr:to>
    <xdr:sp macro="" textlink="">
      <xdr:nvSpPr>
        <xdr:cNvPr id="38" name="Rectangle : coins arrondis 37">
          <a:extLst>
            <a:ext uri="{FF2B5EF4-FFF2-40B4-BE49-F238E27FC236}">
              <a16:creationId xmlns:a16="http://schemas.microsoft.com/office/drawing/2014/main" id="{563CD1F8-6EE0-42AA-B660-D93AA35BC987}"/>
            </a:ext>
          </a:extLst>
        </xdr:cNvPr>
        <xdr:cNvSpPr/>
      </xdr:nvSpPr>
      <xdr:spPr>
        <a:xfrm>
          <a:off x="6139543" y="22168758"/>
          <a:ext cx="830037" cy="476250"/>
        </a:xfrm>
        <a:prstGeom prst="round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3</xdr:col>
      <xdr:colOff>1488620</xdr:colOff>
      <xdr:row>41</xdr:row>
      <xdr:rowOff>59873</xdr:rowOff>
    </xdr:from>
    <xdr:to>
      <xdr:col>3</xdr:col>
      <xdr:colOff>2318657</xdr:colOff>
      <xdr:row>41</xdr:row>
      <xdr:rowOff>536123</xdr:rowOff>
    </xdr:to>
    <xdr:sp macro="" textlink="">
      <xdr:nvSpPr>
        <xdr:cNvPr id="39" name="Rectangle : coins arrondis 38">
          <a:extLst>
            <a:ext uri="{FF2B5EF4-FFF2-40B4-BE49-F238E27FC236}">
              <a16:creationId xmlns:a16="http://schemas.microsoft.com/office/drawing/2014/main" id="{8843BF1F-6F60-49BA-B21A-7C648CD4161C}"/>
            </a:ext>
          </a:extLst>
        </xdr:cNvPr>
        <xdr:cNvSpPr/>
      </xdr:nvSpPr>
      <xdr:spPr>
        <a:xfrm>
          <a:off x="9897834" y="22171480"/>
          <a:ext cx="830037" cy="476250"/>
        </a:xfrm>
        <a:prstGeom prst="round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4</xdr:col>
      <xdr:colOff>1420586</xdr:colOff>
      <xdr:row>41</xdr:row>
      <xdr:rowOff>59873</xdr:rowOff>
    </xdr:from>
    <xdr:to>
      <xdr:col>4</xdr:col>
      <xdr:colOff>2250623</xdr:colOff>
      <xdr:row>41</xdr:row>
      <xdr:rowOff>536123</xdr:rowOff>
    </xdr:to>
    <xdr:sp macro="" textlink="">
      <xdr:nvSpPr>
        <xdr:cNvPr id="40" name="Rectangle : coins arrondis 39">
          <a:extLst>
            <a:ext uri="{FF2B5EF4-FFF2-40B4-BE49-F238E27FC236}">
              <a16:creationId xmlns:a16="http://schemas.microsoft.com/office/drawing/2014/main" id="{2C0CD70C-9DCA-4C29-B0EE-05B3CBA819B0}"/>
            </a:ext>
          </a:extLst>
        </xdr:cNvPr>
        <xdr:cNvSpPr/>
      </xdr:nvSpPr>
      <xdr:spPr>
        <a:xfrm>
          <a:off x="14197693" y="22266730"/>
          <a:ext cx="830037" cy="476250"/>
        </a:xfrm>
        <a:prstGeom prst="round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1</xdr:col>
      <xdr:colOff>1461406</xdr:colOff>
      <xdr:row>49</xdr:row>
      <xdr:rowOff>59872</xdr:rowOff>
    </xdr:from>
    <xdr:to>
      <xdr:col>1</xdr:col>
      <xdr:colOff>2291443</xdr:colOff>
      <xdr:row>49</xdr:row>
      <xdr:rowOff>536122</xdr:rowOff>
    </xdr:to>
    <xdr:sp macro="" textlink="">
      <xdr:nvSpPr>
        <xdr:cNvPr id="41" name="Rectangle : coins arrondis 40">
          <a:extLst>
            <a:ext uri="{FF2B5EF4-FFF2-40B4-BE49-F238E27FC236}">
              <a16:creationId xmlns:a16="http://schemas.microsoft.com/office/drawing/2014/main" id="{8B71DB3A-A5DC-448C-A6FF-6ABADA825BC6}"/>
            </a:ext>
          </a:extLst>
        </xdr:cNvPr>
        <xdr:cNvSpPr/>
      </xdr:nvSpPr>
      <xdr:spPr>
        <a:xfrm>
          <a:off x="3216727" y="25627693"/>
          <a:ext cx="830037" cy="476250"/>
        </a:xfrm>
        <a:prstGeom prst="round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2</xdr:col>
      <xdr:colOff>1434192</xdr:colOff>
      <xdr:row>49</xdr:row>
      <xdr:rowOff>59872</xdr:rowOff>
    </xdr:from>
    <xdr:to>
      <xdr:col>2</xdr:col>
      <xdr:colOff>2264229</xdr:colOff>
      <xdr:row>49</xdr:row>
      <xdr:rowOff>536122</xdr:rowOff>
    </xdr:to>
    <xdr:sp macro="" textlink="">
      <xdr:nvSpPr>
        <xdr:cNvPr id="42" name="Rectangle : coins arrondis 41">
          <a:extLst>
            <a:ext uri="{FF2B5EF4-FFF2-40B4-BE49-F238E27FC236}">
              <a16:creationId xmlns:a16="http://schemas.microsoft.com/office/drawing/2014/main" id="{7217EC82-9D8B-433D-84A1-6E8058238E37}"/>
            </a:ext>
          </a:extLst>
        </xdr:cNvPr>
        <xdr:cNvSpPr/>
      </xdr:nvSpPr>
      <xdr:spPr>
        <a:xfrm>
          <a:off x="6863442" y="25627693"/>
          <a:ext cx="830037" cy="476250"/>
        </a:xfrm>
        <a:prstGeom prst="round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3</xdr:col>
      <xdr:colOff>1423306</xdr:colOff>
      <xdr:row>49</xdr:row>
      <xdr:rowOff>62594</xdr:rowOff>
    </xdr:from>
    <xdr:to>
      <xdr:col>3</xdr:col>
      <xdr:colOff>2253343</xdr:colOff>
      <xdr:row>49</xdr:row>
      <xdr:rowOff>538844</xdr:rowOff>
    </xdr:to>
    <xdr:sp macro="" textlink="">
      <xdr:nvSpPr>
        <xdr:cNvPr id="43" name="Rectangle : coins arrondis 42">
          <a:extLst>
            <a:ext uri="{FF2B5EF4-FFF2-40B4-BE49-F238E27FC236}">
              <a16:creationId xmlns:a16="http://schemas.microsoft.com/office/drawing/2014/main" id="{0D278C06-6ECC-4EBC-9D9E-801EC672BB37}"/>
            </a:ext>
          </a:extLst>
        </xdr:cNvPr>
        <xdr:cNvSpPr/>
      </xdr:nvSpPr>
      <xdr:spPr>
        <a:xfrm>
          <a:off x="10526485" y="25630415"/>
          <a:ext cx="830037" cy="476250"/>
        </a:xfrm>
        <a:prstGeom prst="round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4</xdr:col>
      <xdr:colOff>1450521</xdr:colOff>
      <xdr:row>49</xdr:row>
      <xdr:rowOff>62594</xdr:rowOff>
    </xdr:from>
    <xdr:to>
      <xdr:col>4</xdr:col>
      <xdr:colOff>2280558</xdr:colOff>
      <xdr:row>49</xdr:row>
      <xdr:rowOff>538844</xdr:rowOff>
    </xdr:to>
    <xdr:sp macro="" textlink="">
      <xdr:nvSpPr>
        <xdr:cNvPr id="44" name="Rectangle : coins arrondis 43">
          <a:extLst>
            <a:ext uri="{FF2B5EF4-FFF2-40B4-BE49-F238E27FC236}">
              <a16:creationId xmlns:a16="http://schemas.microsoft.com/office/drawing/2014/main" id="{0DFEF93F-56DC-4717-A56B-6DE2F3BD338D}"/>
            </a:ext>
          </a:extLst>
        </xdr:cNvPr>
        <xdr:cNvSpPr/>
      </xdr:nvSpPr>
      <xdr:spPr>
        <a:xfrm>
          <a:off x="14227628" y="25630415"/>
          <a:ext cx="830037" cy="476250"/>
        </a:xfrm>
        <a:prstGeom prst="round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1</xdr:col>
      <xdr:colOff>1450520</xdr:colOff>
      <xdr:row>50</xdr:row>
      <xdr:rowOff>48986</xdr:rowOff>
    </xdr:from>
    <xdr:to>
      <xdr:col>1</xdr:col>
      <xdr:colOff>2280557</xdr:colOff>
      <xdr:row>50</xdr:row>
      <xdr:rowOff>525236</xdr:rowOff>
    </xdr:to>
    <xdr:sp macro="" textlink="">
      <xdr:nvSpPr>
        <xdr:cNvPr id="45" name="Rectangle : coins arrondis 44">
          <a:extLst>
            <a:ext uri="{FF2B5EF4-FFF2-40B4-BE49-F238E27FC236}">
              <a16:creationId xmlns:a16="http://schemas.microsoft.com/office/drawing/2014/main" id="{7089C070-CEC2-4626-98C7-12D69EDFA15E}"/>
            </a:ext>
          </a:extLst>
        </xdr:cNvPr>
        <xdr:cNvSpPr/>
      </xdr:nvSpPr>
      <xdr:spPr>
        <a:xfrm>
          <a:off x="3205841" y="26201915"/>
          <a:ext cx="830037" cy="476250"/>
        </a:xfrm>
        <a:prstGeom prst="round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2</xdr:col>
      <xdr:colOff>1423306</xdr:colOff>
      <xdr:row>50</xdr:row>
      <xdr:rowOff>48986</xdr:rowOff>
    </xdr:from>
    <xdr:to>
      <xdr:col>2</xdr:col>
      <xdr:colOff>2253343</xdr:colOff>
      <xdr:row>50</xdr:row>
      <xdr:rowOff>525236</xdr:rowOff>
    </xdr:to>
    <xdr:sp macro="" textlink="">
      <xdr:nvSpPr>
        <xdr:cNvPr id="46" name="Rectangle : coins arrondis 45">
          <a:extLst>
            <a:ext uri="{FF2B5EF4-FFF2-40B4-BE49-F238E27FC236}">
              <a16:creationId xmlns:a16="http://schemas.microsoft.com/office/drawing/2014/main" id="{7B56E10C-A9BB-4B8A-9FD5-5E93E712A2BB}"/>
            </a:ext>
          </a:extLst>
        </xdr:cNvPr>
        <xdr:cNvSpPr/>
      </xdr:nvSpPr>
      <xdr:spPr>
        <a:xfrm>
          <a:off x="6852556" y="26201915"/>
          <a:ext cx="830037" cy="476250"/>
        </a:xfrm>
        <a:prstGeom prst="round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3</xdr:col>
      <xdr:colOff>1412420</xdr:colOff>
      <xdr:row>50</xdr:row>
      <xdr:rowOff>51708</xdr:rowOff>
    </xdr:from>
    <xdr:to>
      <xdr:col>3</xdr:col>
      <xdr:colOff>2242457</xdr:colOff>
      <xdr:row>50</xdr:row>
      <xdr:rowOff>527958</xdr:rowOff>
    </xdr:to>
    <xdr:sp macro="" textlink="">
      <xdr:nvSpPr>
        <xdr:cNvPr id="47" name="Rectangle : coins arrondis 46">
          <a:extLst>
            <a:ext uri="{FF2B5EF4-FFF2-40B4-BE49-F238E27FC236}">
              <a16:creationId xmlns:a16="http://schemas.microsoft.com/office/drawing/2014/main" id="{19BB00A3-7D78-4DED-BB7D-D9C754193A74}"/>
            </a:ext>
          </a:extLst>
        </xdr:cNvPr>
        <xdr:cNvSpPr/>
      </xdr:nvSpPr>
      <xdr:spPr>
        <a:xfrm>
          <a:off x="10515599" y="26204637"/>
          <a:ext cx="830037" cy="476250"/>
        </a:xfrm>
        <a:prstGeom prst="round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twoCellAnchor>
    <xdr:from>
      <xdr:col>4</xdr:col>
      <xdr:colOff>1439635</xdr:colOff>
      <xdr:row>50</xdr:row>
      <xdr:rowOff>51708</xdr:rowOff>
    </xdr:from>
    <xdr:to>
      <xdr:col>4</xdr:col>
      <xdr:colOff>2269672</xdr:colOff>
      <xdr:row>50</xdr:row>
      <xdr:rowOff>527958</xdr:rowOff>
    </xdr:to>
    <xdr:sp macro="" textlink="">
      <xdr:nvSpPr>
        <xdr:cNvPr id="48" name="Rectangle : coins arrondis 47">
          <a:extLst>
            <a:ext uri="{FF2B5EF4-FFF2-40B4-BE49-F238E27FC236}">
              <a16:creationId xmlns:a16="http://schemas.microsoft.com/office/drawing/2014/main" id="{103A6D3A-9058-4C5C-8E35-B1CA95C3EE82}"/>
            </a:ext>
          </a:extLst>
        </xdr:cNvPr>
        <xdr:cNvSpPr/>
      </xdr:nvSpPr>
      <xdr:spPr>
        <a:xfrm>
          <a:off x="14216742" y="26204637"/>
          <a:ext cx="830037" cy="476250"/>
        </a:xfrm>
        <a:prstGeom prst="round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4" tint="-0.499984740745262"/>
    <outlinePr summaryBelow="0" summaryRight="0"/>
    <pageSetUpPr fitToPage="1"/>
  </sheetPr>
  <dimension ref="A1:O41"/>
  <sheetViews>
    <sheetView topLeftCell="B1" workbookViewId="0">
      <selection activeCell="B2" sqref="B2:N16"/>
    </sheetView>
  </sheetViews>
  <sheetFormatPr baseColWidth="10" defaultColWidth="12.54296875" defaultRowHeight="15.75" customHeight="1" x14ac:dyDescent="0.25"/>
  <cols>
    <col min="1" max="1" width="7.453125" customWidth="1"/>
    <col min="2" max="2" width="20.453125" customWidth="1"/>
    <col min="3" max="3" width="10" customWidth="1"/>
    <col min="4" max="4" width="14.1796875" customWidth="1"/>
    <col min="5" max="5" width="11.1796875" customWidth="1"/>
    <col min="6" max="6" width="13.1796875" customWidth="1"/>
    <col min="7" max="7" width="10.26953125" customWidth="1"/>
    <col min="8" max="8" width="10.54296875" customWidth="1"/>
    <col min="9" max="9" width="10.453125" customWidth="1"/>
    <col min="10" max="10" width="13" customWidth="1"/>
    <col min="11" max="11" width="14.7265625" customWidth="1"/>
    <col min="12" max="13" width="18.453125" customWidth="1"/>
  </cols>
  <sheetData>
    <row r="1" spans="1:15" ht="13.5" thickBot="1" x14ac:dyDescent="0.35">
      <c r="A1" s="350"/>
      <c r="B1" s="351"/>
      <c r="C1" s="350"/>
      <c r="D1" s="350"/>
      <c r="E1" s="350"/>
      <c r="F1" s="350"/>
      <c r="G1" s="350"/>
      <c r="H1" s="350"/>
      <c r="I1" s="350"/>
      <c r="J1" s="350"/>
      <c r="K1" s="350"/>
      <c r="L1" s="149">
        <v>1</v>
      </c>
      <c r="M1" s="250">
        <v>2</v>
      </c>
      <c r="N1" s="161" t="s">
        <v>0</v>
      </c>
    </row>
    <row r="2" spans="1:15" ht="32.25" customHeight="1" thickBot="1" x14ac:dyDescent="0.3">
      <c r="A2" s="166" t="s">
        <v>1</v>
      </c>
      <c r="B2" s="153" t="s">
        <v>2</v>
      </c>
      <c r="C2" s="154" t="s">
        <v>3</v>
      </c>
      <c r="D2" s="150" t="s">
        <v>4</v>
      </c>
      <c r="E2" s="151" t="s">
        <v>5</v>
      </c>
      <c r="F2" s="152" t="s">
        <v>6</v>
      </c>
      <c r="G2" s="347" t="s">
        <v>7</v>
      </c>
      <c r="H2" s="348" t="s">
        <v>8</v>
      </c>
      <c r="I2" s="345" t="s">
        <v>9</v>
      </c>
      <c r="J2" s="258" t="s">
        <v>10</v>
      </c>
      <c r="K2" s="259" t="s">
        <v>11</v>
      </c>
      <c r="L2" s="537" t="s">
        <v>12</v>
      </c>
      <c r="M2" s="538" t="s">
        <v>13</v>
      </c>
      <c r="N2" s="243" t="s">
        <v>14</v>
      </c>
    </row>
    <row r="3" spans="1:15" ht="13" x14ac:dyDescent="0.3">
      <c r="A3" s="167">
        <v>1</v>
      </c>
      <c r="B3" s="514" t="s">
        <v>15</v>
      </c>
      <c r="C3" s="515">
        <v>554</v>
      </c>
      <c r="D3" s="603" cm="1">
        <f t="array" aca="1" ref="D3" ca="1">INDIRECT("'Bureau " &amp; ROW()-2 &amp; "'!$B$9")</f>
        <v>316</v>
      </c>
      <c r="E3" s="604" cm="1">
        <f t="array" aca="1" ref="E3" ca="1">INDIRECT("'Bureau " &amp; ROW()-2 &amp; "'!$B$8")</f>
        <v>316</v>
      </c>
      <c r="F3" s="605">
        <f t="shared" ref="F3:F14" ca="1" si="0">C3-E3</f>
        <v>238</v>
      </c>
      <c r="G3" s="606">
        <f ca="1">INDEX(INDIRECT("'Bureau "&amp;(ROW()-2)&amp;"'!13:13"),1,MATCH("Nuls",INDIRECT("'Bureau "&amp;(ROW()-2)&amp;"'!2:2"),0))</f>
        <v>8</v>
      </c>
      <c r="H3" s="607">
        <f ca="1">INDEX(INDIRECT("'Bureau "&amp;(ROW()-2)&amp;"'!13:13"),1,MATCH("Blancs",INDIRECT("'Bureau "&amp;(ROW()-2)&amp;"'!2:2"),0))</f>
        <v>4</v>
      </c>
      <c r="I3" s="608">
        <f t="shared" ref="I3:I14" ca="1" si="1">E3-H3-G3</f>
        <v>304</v>
      </c>
      <c r="J3" s="609">
        <f t="shared" ref="J3:J14" ca="1" si="2">E3/C3</f>
        <v>0.5703971119133574</v>
      </c>
      <c r="K3" s="610">
        <f t="shared" ref="K3:K14" ca="1" si="3">F3/C3</f>
        <v>0.4296028880866426</v>
      </c>
      <c r="L3" s="611" cm="1">
        <f t="array" aca="1" ref="L3" ca="1">INDIRECT("'Bureau " &amp; ROW()-2 &amp; "'!" &amp; ADDRESS(13,COLUMN()-7,4))</f>
        <v>148</v>
      </c>
      <c r="M3" s="612" cm="1">
        <f t="array" aca="1" ref="M3" ca="1">INDIRECT("'Bureau " &amp; ROW()-2 &amp; "'!" &amp; ADDRESS(13,COLUMN()-7,4))</f>
        <v>156</v>
      </c>
      <c r="N3" s="221" cm="1">
        <f t="array" aca="1" ref="N3" ca="1">SUM(IFERROR(L3:M3,0))</f>
        <v>304</v>
      </c>
    </row>
    <row r="4" spans="1:15" ht="13" x14ac:dyDescent="0.3">
      <c r="A4" s="168">
        <v>2</v>
      </c>
      <c r="B4" s="516" t="s">
        <v>16</v>
      </c>
      <c r="C4" s="517">
        <v>740</v>
      </c>
      <c r="D4" s="613" cm="1">
        <f t="array" aca="1" ref="D4" ca="1">INDIRECT("'Bureau " &amp; ROW()-2 &amp; "'!$B$9")</f>
        <v>433</v>
      </c>
      <c r="E4" s="614" cm="1">
        <f t="array" aca="1" ref="E4" ca="1">INDIRECT("'Bureau " &amp; ROW()-2 &amp; "'!$B$8")</f>
        <v>433</v>
      </c>
      <c r="F4" s="615">
        <f t="shared" ca="1" si="0"/>
        <v>307</v>
      </c>
      <c r="G4" s="616">
        <f t="shared" ref="G4:G14" ca="1" si="4">INDEX(INDIRECT("'Bureau "&amp;(ROW()-2)&amp;"'!13:13"),1,MATCH("Nuls",INDIRECT("'Bureau "&amp;(ROW()-2)&amp;"'!2:2"),0))</f>
        <v>10</v>
      </c>
      <c r="H4" s="617">
        <f ca="1">INDEX(INDIRECT("'Bureau "&amp;(ROW()-2)&amp;"'!13:13"),1,MATCH("Blancs",INDIRECT("'Bureau "&amp;(ROW()-2)&amp;"'!2:2"),0))</f>
        <v>9</v>
      </c>
      <c r="I4" s="618">
        <f t="shared" ca="1" si="1"/>
        <v>414</v>
      </c>
      <c r="J4" s="619">
        <f t="shared" ca="1" si="2"/>
        <v>0.58513513513513515</v>
      </c>
      <c r="K4" s="620">
        <f t="shared" ca="1" si="3"/>
        <v>0.41486486486486485</v>
      </c>
      <c r="L4" s="621" cm="1">
        <f t="array" aca="1" ref="L4" ca="1">INDIRECT("'Bureau " &amp; ROW()-2 &amp; "'!" &amp; ADDRESS(13,COLUMN()-7,4))</f>
        <v>197</v>
      </c>
      <c r="M4" s="622" cm="1">
        <f t="array" aca="1" ref="M4" ca="1">INDIRECT("'Bureau " &amp; ROW()-2 &amp; "'!" &amp; ADDRESS(13,COLUMN()-7,4))</f>
        <v>217</v>
      </c>
      <c r="N4" s="244" cm="1">
        <f t="array" aca="1" ref="N4" ca="1">SUM(IFERROR(L4:M4,0))</f>
        <v>414</v>
      </c>
    </row>
    <row r="5" spans="1:15" ht="13" x14ac:dyDescent="0.3">
      <c r="A5" s="168">
        <v>3</v>
      </c>
      <c r="B5" s="516" t="s">
        <v>16</v>
      </c>
      <c r="C5" s="517">
        <v>714</v>
      </c>
      <c r="D5" s="613" cm="1">
        <f t="array" aca="1" ref="D5" ca="1">INDIRECT("'Bureau " &amp; ROW()-2 &amp; "'!$B$9")</f>
        <v>480</v>
      </c>
      <c r="E5" s="614" cm="1">
        <f t="array" aca="1" ref="E5" ca="1">INDIRECT("'Bureau " &amp; ROW()-2 &amp; "'!$B$8")</f>
        <v>480</v>
      </c>
      <c r="F5" s="615">
        <f t="shared" ca="1" si="0"/>
        <v>234</v>
      </c>
      <c r="G5" s="616">
        <f t="shared" ca="1" si="4"/>
        <v>3</v>
      </c>
      <c r="H5" s="617">
        <f t="shared" ref="H5:H14" ca="1" si="5">INDEX(INDIRECT("'Bureau "&amp;(ROW()-2)&amp;"'!13:13"),1,MATCH("Blancs",INDIRECT("'Bureau "&amp;(ROW()-2)&amp;"'!2:2"),0))</f>
        <v>6</v>
      </c>
      <c r="I5" s="618">
        <f t="shared" ca="1" si="1"/>
        <v>471</v>
      </c>
      <c r="J5" s="619">
        <f t="shared" ca="1" si="2"/>
        <v>0.67226890756302526</v>
      </c>
      <c r="K5" s="620">
        <f t="shared" ca="1" si="3"/>
        <v>0.32773109243697479</v>
      </c>
      <c r="L5" s="621" cm="1">
        <f t="array" aca="1" ref="L5" ca="1">INDIRECT("'Bureau " &amp; ROW()-2 &amp; "'!" &amp; ADDRESS(13,COLUMN()-7,4))</f>
        <v>206</v>
      </c>
      <c r="M5" s="622" cm="1">
        <f t="array" aca="1" ref="M5" ca="1">INDIRECT("'Bureau " &amp; ROW()-2 &amp; "'!" &amp; ADDRESS(13,COLUMN()-7,4))</f>
        <v>265</v>
      </c>
      <c r="N5" s="244" cm="1">
        <f t="array" aca="1" ref="N5" ca="1">SUM(IFERROR(L5:M5,0))</f>
        <v>471</v>
      </c>
    </row>
    <row r="6" spans="1:15" ht="13" x14ac:dyDescent="0.3">
      <c r="A6" s="168">
        <v>4</v>
      </c>
      <c r="B6" s="516" t="s">
        <v>16</v>
      </c>
      <c r="C6" s="517">
        <v>679</v>
      </c>
      <c r="D6" s="613" cm="1">
        <f t="array" aca="1" ref="D6" ca="1">INDIRECT("'Bureau " &amp; ROW()-2 &amp; "'!$B$9")</f>
        <v>382</v>
      </c>
      <c r="E6" s="614" cm="1">
        <f t="array" aca="1" ref="E6" ca="1">INDIRECT("'Bureau " &amp; ROW()-2 &amp; "'!$B$8")</f>
        <v>382</v>
      </c>
      <c r="F6" s="615">
        <f t="shared" ca="1" si="0"/>
        <v>297</v>
      </c>
      <c r="G6" s="616">
        <f t="shared" ca="1" si="4"/>
        <v>5</v>
      </c>
      <c r="H6" s="617">
        <f t="shared" ca="1" si="5"/>
        <v>8</v>
      </c>
      <c r="I6" s="618">
        <f t="shared" ca="1" si="1"/>
        <v>369</v>
      </c>
      <c r="J6" s="619">
        <f t="shared" ca="1" si="2"/>
        <v>0.5625920471281296</v>
      </c>
      <c r="K6" s="620">
        <f t="shared" ca="1" si="3"/>
        <v>0.4374079528718704</v>
      </c>
      <c r="L6" s="621" cm="1">
        <f t="array" aca="1" ref="L6" ca="1">INDIRECT("'Bureau " &amp; ROW()-2 &amp; "'!" &amp; ADDRESS(13,COLUMN()-7,4))</f>
        <v>147</v>
      </c>
      <c r="M6" s="622" cm="1">
        <f t="array" aca="1" ref="M6" ca="1">INDIRECT("'Bureau " &amp; ROW()-2 &amp; "'!" &amp; ADDRESS(13,COLUMN()-7,4))</f>
        <v>222</v>
      </c>
      <c r="N6" s="244" cm="1">
        <f t="array" aca="1" ref="N6" ca="1">SUM(IFERROR(L6:M6,0))</f>
        <v>369</v>
      </c>
    </row>
    <row r="7" spans="1:15" ht="13" x14ac:dyDescent="0.3">
      <c r="A7" s="168">
        <v>5</v>
      </c>
      <c r="B7" s="516" t="s">
        <v>17</v>
      </c>
      <c r="C7" s="517">
        <v>701</v>
      </c>
      <c r="D7" s="613" cm="1">
        <f t="array" aca="1" ref="D7" ca="1">INDIRECT("'Bureau " &amp; ROW()-2 &amp; "'!$B$9")</f>
        <v>475</v>
      </c>
      <c r="E7" s="614" cm="1">
        <f t="array" aca="1" ref="E7" ca="1">INDIRECT("'Bureau " &amp; ROW()-2 &amp; "'!$B$8")</f>
        <v>475</v>
      </c>
      <c r="F7" s="615">
        <f t="shared" ca="1" si="0"/>
        <v>226</v>
      </c>
      <c r="G7" s="616">
        <f t="shared" ca="1" si="4"/>
        <v>10</v>
      </c>
      <c r="H7" s="617">
        <f t="shared" ca="1" si="5"/>
        <v>10</v>
      </c>
      <c r="I7" s="618">
        <f t="shared" ca="1" si="1"/>
        <v>455</v>
      </c>
      <c r="J7" s="619">
        <f t="shared" ca="1" si="2"/>
        <v>0.67760342368045645</v>
      </c>
      <c r="K7" s="620">
        <f t="shared" ca="1" si="3"/>
        <v>0.32239657631954349</v>
      </c>
      <c r="L7" s="621" cm="1">
        <f t="array" aca="1" ref="L7" ca="1">INDIRECT("'Bureau " &amp; ROW()-2 &amp; "'!" &amp; ADDRESS(13,COLUMN()-7,4))</f>
        <v>204</v>
      </c>
      <c r="M7" s="622" cm="1">
        <f t="array" aca="1" ref="M7" ca="1">INDIRECT("'Bureau " &amp; ROW()-2 &amp; "'!" &amp; ADDRESS(13,COLUMN()-7,4))</f>
        <v>251</v>
      </c>
      <c r="N7" s="244" cm="1">
        <f t="array" aca="1" ref="N7" ca="1">SUM(IFERROR(L7:M7,0))</f>
        <v>455</v>
      </c>
    </row>
    <row r="8" spans="1:15" ht="13" x14ac:dyDescent="0.3">
      <c r="A8" s="168">
        <v>6</v>
      </c>
      <c r="B8" s="516" t="s">
        <v>17</v>
      </c>
      <c r="C8" s="517">
        <v>710</v>
      </c>
      <c r="D8" s="613" cm="1">
        <f t="array" aca="1" ref="D8" ca="1">INDIRECT("'Bureau " &amp; ROW()-2 &amp; "'!$B$9")</f>
        <v>380</v>
      </c>
      <c r="E8" s="614" cm="1">
        <f t="array" aca="1" ref="E8" ca="1">INDIRECT("'Bureau " &amp; ROW()-2 &amp; "'!$B$8")</f>
        <v>380</v>
      </c>
      <c r="F8" s="615">
        <f t="shared" ca="1" si="0"/>
        <v>330</v>
      </c>
      <c r="G8" s="616">
        <f t="shared" ca="1" si="4"/>
        <v>2</v>
      </c>
      <c r="H8" s="617">
        <f t="shared" ca="1" si="5"/>
        <v>12</v>
      </c>
      <c r="I8" s="618">
        <f t="shared" ca="1" si="1"/>
        <v>366</v>
      </c>
      <c r="J8" s="619">
        <f t="shared" ca="1" si="2"/>
        <v>0.53521126760563376</v>
      </c>
      <c r="K8" s="620">
        <f t="shared" ca="1" si="3"/>
        <v>0.46478873239436619</v>
      </c>
      <c r="L8" s="621" cm="1">
        <f t="array" aca="1" ref="L8" ca="1">INDIRECT("'Bureau " &amp; ROW()-2 &amp; "'!" &amp; ADDRESS(13,COLUMN()-7,4))</f>
        <v>161</v>
      </c>
      <c r="M8" s="622" cm="1">
        <f t="array" aca="1" ref="M8" ca="1">INDIRECT("'Bureau " &amp; ROW()-2 &amp; "'!" &amp; ADDRESS(13,COLUMN()-7,4))</f>
        <v>205</v>
      </c>
      <c r="N8" s="244" cm="1">
        <f t="array" aca="1" ref="N8" ca="1">SUM(IFERROR(L8:M8,0))</f>
        <v>366</v>
      </c>
    </row>
    <row r="9" spans="1:15" ht="13" x14ac:dyDescent="0.3">
      <c r="A9" s="168">
        <v>7</v>
      </c>
      <c r="B9" s="516" t="s">
        <v>17</v>
      </c>
      <c r="C9" s="517">
        <v>731</v>
      </c>
      <c r="D9" s="613" cm="1">
        <f t="array" aca="1" ref="D9" ca="1">INDIRECT("'Bureau " &amp; ROW()-2 &amp; "'!$B$9")</f>
        <v>430</v>
      </c>
      <c r="E9" s="614" cm="1">
        <f t="array" aca="1" ref="E9" ca="1">INDIRECT("'Bureau " &amp; ROW()-2 &amp; "'!$B$8")</f>
        <v>430</v>
      </c>
      <c r="F9" s="615">
        <f t="shared" ca="1" si="0"/>
        <v>301</v>
      </c>
      <c r="G9" s="616">
        <f t="shared" ca="1" si="4"/>
        <v>4</v>
      </c>
      <c r="H9" s="617">
        <f t="shared" ca="1" si="5"/>
        <v>11</v>
      </c>
      <c r="I9" s="618">
        <f t="shared" ca="1" si="1"/>
        <v>415</v>
      </c>
      <c r="J9" s="619">
        <f t="shared" ca="1" si="2"/>
        <v>0.58823529411764708</v>
      </c>
      <c r="K9" s="620">
        <f t="shared" ca="1" si="3"/>
        <v>0.41176470588235292</v>
      </c>
      <c r="L9" s="621" cm="1">
        <f t="array" aca="1" ref="L9" ca="1">INDIRECT("'Bureau " &amp; ROW()-2 &amp; "'!" &amp; ADDRESS(13,COLUMN()-7,4))</f>
        <v>172</v>
      </c>
      <c r="M9" s="622" cm="1">
        <f t="array" aca="1" ref="M9" ca="1">INDIRECT("'Bureau " &amp; ROW()-2 &amp; "'!" &amp; ADDRESS(13,COLUMN()-7,4))</f>
        <v>243</v>
      </c>
      <c r="N9" s="244" cm="1">
        <f t="array" aca="1" ref="N9" ca="1">SUM(IFERROR(L9:M9,0))</f>
        <v>415</v>
      </c>
    </row>
    <row r="10" spans="1:15" ht="13" x14ac:dyDescent="0.3">
      <c r="A10" s="168">
        <v>8</v>
      </c>
      <c r="B10" s="516" t="s">
        <v>17</v>
      </c>
      <c r="C10" s="517">
        <v>645</v>
      </c>
      <c r="D10" s="613" cm="1">
        <f t="array" aca="1" ref="D10" ca="1">INDIRECT("'Bureau " &amp; ROW()-2 &amp; "'!$B$9")</f>
        <v>362</v>
      </c>
      <c r="E10" s="614" cm="1">
        <f t="array" aca="1" ref="E10" ca="1">INDIRECT("'Bureau " &amp; ROW()-2 &amp; "'!$B$8")</f>
        <v>362</v>
      </c>
      <c r="F10" s="615">
        <f t="shared" ca="1" si="0"/>
        <v>283</v>
      </c>
      <c r="G10" s="616">
        <f t="shared" ca="1" si="4"/>
        <v>4</v>
      </c>
      <c r="H10" s="617">
        <f t="shared" ca="1" si="5"/>
        <v>9</v>
      </c>
      <c r="I10" s="618">
        <f t="shared" ca="1" si="1"/>
        <v>349</v>
      </c>
      <c r="J10" s="619">
        <f t="shared" ca="1" si="2"/>
        <v>0.5612403100775194</v>
      </c>
      <c r="K10" s="620">
        <f t="shared" ca="1" si="3"/>
        <v>0.4387596899224806</v>
      </c>
      <c r="L10" s="621" cm="1">
        <f t="array" aca="1" ref="L10" ca="1">INDIRECT("'Bureau " &amp; ROW()-2 &amp; "'!" &amp; ADDRESS(13,COLUMN()-7,4))</f>
        <v>149</v>
      </c>
      <c r="M10" s="622" cm="1">
        <f t="array" aca="1" ref="M10" ca="1">INDIRECT("'Bureau " &amp; ROW()-2 &amp; "'!" &amp; ADDRESS(13,COLUMN()-7,4))</f>
        <v>200</v>
      </c>
      <c r="N10" s="244" cm="1">
        <f t="array" aca="1" ref="N10" ca="1">SUM(IFERROR(L10:M10,0))</f>
        <v>349</v>
      </c>
    </row>
    <row r="11" spans="1:15" ht="13" x14ac:dyDescent="0.3">
      <c r="A11" s="168">
        <v>9</v>
      </c>
      <c r="B11" s="516" t="s">
        <v>18</v>
      </c>
      <c r="C11" s="517">
        <v>710</v>
      </c>
      <c r="D11" s="613" cm="1">
        <f t="array" aca="1" ref="D11" ca="1">INDIRECT("'Bureau " &amp; ROW()-2 &amp; "'!$B$9")</f>
        <v>331</v>
      </c>
      <c r="E11" s="614" cm="1">
        <f t="array" aca="1" ref="E11" ca="1">INDIRECT("'Bureau " &amp; ROW()-2 &amp; "'!$B$8")</f>
        <v>331</v>
      </c>
      <c r="F11" s="615">
        <f t="shared" ca="1" si="0"/>
        <v>379</v>
      </c>
      <c r="G11" s="616">
        <f t="shared" ca="1" si="4"/>
        <v>11</v>
      </c>
      <c r="H11" s="617">
        <f t="shared" ca="1" si="5"/>
        <v>6</v>
      </c>
      <c r="I11" s="618">
        <f t="shared" ca="1" si="1"/>
        <v>314</v>
      </c>
      <c r="J11" s="619">
        <f t="shared" ca="1" si="2"/>
        <v>0.46619718309859154</v>
      </c>
      <c r="K11" s="620">
        <f t="shared" ca="1" si="3"/>
        <v>0.53380281690140841</v>
      </c>
      <c r="L11" s="621" cm="1">
        <f t="array" aca="1" ref="L11" ca="1">INDIRECT("'Bureau " &amp; ROW()-2 &amp; "'!" &amp; ADDRESS(13,COLUMN()-7,4))</f>
        <v>144</v>
      </c>
      <c r="M11" s="622" cm="1">
        <f t="array" aca="1" ref="M11" ca="1">INDIRECT("'Bureau " &amp; ROW()-2 &amp; "'!" &amp; ADDRESS(13,COLUMN()-7,4))</f>
        <v>170</v>
      </c>
      <c r="N11" s="244" cm="1">
        <f t="array" aca="1" ref="N11" ca="1">SUM(IFERROR(L11:M11,0))</f>
        <v>314</v>
      </c>
    </row>
    <row r="12" spans="1:15" ht="13" x14ac:dyDescent="0.3">
      <c r="A12" s="168">
        <v>10</v>
      </c>
      <c r="B12" s="516" t="s">
        <v>18</v>
      </c>
      <c r="C12" s="517">
        <v>609</v>
      </c>
      <c r="D12" s="613" cm="1">
        <f t="array" aca="1" ref="D12" ca="1">INDIRECT("'Bureau " &amp; ROW()-2 &amp; "'!$B$9")</f>
        <v>357</v>
      </c>
      <c r="E12" s="614" cm="1">
        <f t="array" aca="1" ref="E12" ca="1">INDIRECT("'Bureau " &amp; ROW()-2 &amp; "'!$B$8")</f>
        <v>357</v>
      </c>
      <c r="F12" s="615">
        <f t="shared" ca="1" si="0"/>
        <v>252</v>
      </c>
      <c r="G12" s="616">
        <f t="shared" ca="1" si="4"/>
        <v>7</v>
      </c>
      <c r="H12" s="617">
        <f t="shared" ca="1" si="5"/>
        <v>7</v>
      </c>
      <c r="I12" s="618">
        <f t="shared" ca="1" si="1"/>
        <v>343</v>
      </c>
      <c r="J12" s="619">
        <f t="shared" ca="1" si="2"/>
        <v>0.58620689655172409</v>
      </c>
      <c r="K12" s="620">
        <f t="shared" ca="1" si="3"/>
        <v>0.41379310344827586</v>
      </c>
      <c r="L12" s="621" cm="1">
        <f t="array" aca="1" ref="L12" ca="1">INDIRECT("'Bureau " &amp; ROW()-2 &amp; "'!" &amp; ADDRESS(13,COLUMN()-7,4))</f>
        <v>175</v>
      </c>
      <c r="M12" s="622" cm="1">
        <f t="array" aca="1" ref="M12" ca="1">INDIRECT("'Bureau " &amp; ROW()-2 &amp; "'!" &amp; ADDRESS(13,COLUMN()-7,4))</f>
        <v>168</v>
      </c>
      <c r="N12" s="244" cm="1">
        <f t="array" aca="1" ref="N12" ca="1">SUM(IFERROR(L12:M12,0))</f>
        <v>343</v>
      </c>
    </row>
    <row r="13" spans="1:15" ht="13" x14ac:dyDescent="0.3">
      <c r="A13" s="168">
        <v>11</v>
      </c>
      <c r="B13" s="516" t="s">
        <v>18</v>
      </c>
      <c r="C13" s="517">
        <v>691</v>
      </c>
      <c r="D13" s="613" cm="1">
        <f t="array" aca="1" ref="D13" ca="1">INDIRECT("'Bureau " &amp; ROW()-2 &amp; "'!$B$9")</f>
        <v>405</v>
      </c>
      <c r="E13" s="614" cm="1">
        <f t="array" aca="1" ref="E13" ca="1">INDIRECT("'Bureau " &amp; ROW()-2 &amp; "'!$B$8")</f>
        <v>405</v>
      </c>
      <c r="F13" s="615">
        <f t="shared" ca="1" si="0"/>
        <v>286</v>
      </c>
      <c r="G13" s="616">
        <f t="shared" ca="1" si="4"/>
        <v>8</v>
      </c>
      <c r="H13" s="617">
        <f t="shared" ca="1" si="5"/>
        <v>13</v>
      </c>
      <c r="I13" s="618">
        <f t="shared" ca="1" si="1"/>
        <v>384</v>
      </c>
      <c r="J13" s="619">
        <f t="shared" ca="1" si="2"/>
        <v>0.58610709117221416</v>
      </c>
      <c r="K13" s="620">
        <f t="shared" ca="1" si="3"/>
        <v>0.41389290882778584</v>
      </c>
      <c r="L13" s="621" cm="1">
        <f t="array" aca="1" ref="L13" ca="1">INDIRECT("'Bureau " &amp; ROW()-2 &amp; "'!" &amp; ADDRESS(13,COLUMN()-7,4))</f>
        <v>210</v>
      </c>
      <c r="M13" s="622" cm="1">
        <f t="array" aca="1" ref="M13" ca="1">INDIRECT("'Bureau " &amp; ROW()-2 &amp; "'!" &amp; ADDRESS(13,COLUMN()-7,4))</f>
        <v>174</v>
      </c>
      <c r="N13" s="244" cm="1">
        <f t="array" aca="1" ref="N13" ca="1">SUM(IFERROR(L13:M13,0))</f>
        <v>384</v>
      </c>
    </row>
    <row r="14" spans="1:15" ht="13.5" thickBot="1" x14ac:dyDescent="0.35">
      <c r="A14" s="169">
        <v>12</v>
      </c>
      <c r="B14" s="518" t="s">
        <v>19</v>
      </c>
      <c r="C14" s="519">
        <v>681</v>
      </c>
      <c r="D14" s="623" cm="1">
        <f t="array" aca="1" ref="D14" ca="1">INDIRECT("'Bureau " &amp; ROW()-2 &amp; "'!$B$9")</f>
        <v>300</v>
      </c>
      <c r="E14" s="624" cm="1">
        <f t="array" aca="1" ref="E14" ca="1">INDIRECT("'Bureau " &amp; ROW()-2 &amp; "'!$B$8")</f>
        <v>300</v>
      </c>
      <c r="F14" s="625">
        <f t="shared" ca="1" si="0"/>
        <v>381</v>
      </c>
      <c r="G14" s="626">
        <f t="shared" ca="1" si="4"/>
        <v>6</v>
      </c>
      <c r="H14" s="627">
        <f t="shared" ca="1" si="5"/>
        <v>6</v>
      </c>
      <c r="I14" s="628">
        <f t="shared" ca="1" si="1"/>
        <v>288</v>
      </c>
      <c r="J14" s="629">
        <f t="shared" ca="1" si="2"/>
        <v>0.44052863436123346</v>
      </c>
      <c r="K14" s="630">
        <f t="shared" ca="1" si="3"/>
        <v>0.55947136563876654</v>
      </c>
      <c r="L14" s="631" cm="1">
        <f t="array" aca="1" ref="L14" ca="1">INDIRECT("'Bureau " &amp; ROW()-2 &amp; "'!" &amp; ADDRESS(13,COLUMN()-7,4))</f>
        <v>154</v>
      </c>
      <c r="M14" s="632" cm="1">
        <f t="array" aca="1" ref="M14" ca="1">INDIRECT("'Bureau " &amp; ROW()-2 &amp; "'!" &amp; ADDRESS(13,COLUMN()-7,4))</f>
        <v>134</v>
      </c>
      <c r="N14" s="245" cm="1">
        <f t="array" aca="1" ref="N14" ca="1">SUM(IFERROR(L14:M14,0))</f>
        <v>288</v>
      </c>
    </row>
    <row r="15" spans="1:15" ht="18.5" x14ac:dyDescent="0.45">
      <c r="A15" s="246"/>
      <c r="B15" s="247" t="s">
        <v>20</v>
      </c>
      <c r="C15" s="233" cm="1">
        <f t="array" ref="C15">SUM(IFERROR(C3:C14,0))</f>
        <v>8165</v>
      </c>
      <c r="D15" s="227" cm="1">
        <f t="array" aca="1" ref="D15" ca="1">SUM(IFERROR(D3:D14,0))</f>
        <v>4651</v>
      </c>
      <c r="E15" s="228" cm="1">
        <f t="array" aca="1" ref="E15" ca="1">SUM(IFERROR(E3:E14,0))</f>
        <v>4651</v>
      </c>
      <c r="F15" s="228" cm="1">
        <f t="array" aca="1" ref="F15" ca="1">SUM(IFERROR(F3:F14,0))</f>
        <v>3514</v>
      </c>
      <c r="G15" s="227" cm="1">
        <f t="array" aca="1" ref="G15" ca="1">SUM(IFERROR(G3:G14,0))</f>
        <v>78</v>
      </c>
      <c r="H15" s="349" cm="1">
        <f t="array" aca="1" ref="H15" ca="1">SUM(IFERROR(H3:H14,0))</f>
        <v>101</v>
      </c>
      <c r="I15" s="600" cm="1">
        <f t="array" aca="1" ref="I15" ca="1">SUM(IFERROR(I3:I14,0))</f>
        <v>4472</v>
      </c>
      <c r="J15" s="229">
        <f ca="1">E15</f>
        <v>4651</v>
      </c>
      <c r="K15" s="228" cm="1">
        <f t="array" aca="1" ref="K15" ca="1">SUM(IFERROR(F3:F14,0))</f>
        <v>3514</v>
      </c>
      <c r="L15" s="251" cm="1">
        <f t="array" aca="1" ref="L15" ca="1">SUM(IFERROR(L3:L14,0))</f>
        <v>2067</v>
      </c>
      <c r="M15" s="256" cm="1">
        <f t="array" aca="1" ref="M15" ca="1">SUM(IFERROR(M3:M14,0))</f>
        <v>2405</v>
      </c>
      <c r="N15" s="639" cm="1">
        <f t="array" aca="1" ref="N15" ca="1">SUM(IFERROR(N3:N14,0))</f>
        <v>4472</v>
      </c>
    </row>
    <row r="16" spans="1:15" ht="19" thickBot="1" x14ac:dyDescent="0.5">
      <c r="A16" s="595"/>
      <c r="B16" s="596" t="s">
        <v>21</v>
      </c>
      <c r="C16" s="234"/>
      <c r="D16" s="230">
        <f t="shared" ref="D16:K16" ca="1" si="6">D15/$C15</f>
        <v>0.56962645437844461</v>
      </c>
      <c r="E16" s="231">
        <f t="shared" ca="1" si="6"/>
        <v>0.56962645437844461</v>
      </c>
      <c r="F16" s="231">
        <f t="shared" ca="1" si="6"/>
        <v>0.43037354562155544</v>
      </c>
      <c r="G16" s="230">
        <f ca="1">IFERROR(G15/$E15,0)</f>
        <v>1.6770586970543969E-2</v>
      </c>
      <c r="H16" s="346">
        <f ca="1">IFERROR(H15/$E15,0)</f>
        <v>2.1715760051601807E-2</v>
      </c>
      <c r="I16" s="601">
        <f t="shared" ca="1" si="6"/>
        <v>0.54770361298224124</v>
      </c>
      <c r="J16" s="232">
        <f t="shared" ca="1" si="6"/>
        <v>0.56962645437844461</v>
      </c>
      <c r="K16" s="602">
        <f t="shared" ca="1" si="6"/>
        <v>0.43037354562155544</v>
      </c>
      <c r="L16" s="252">
        <f ca="1">IFERROR(L15/$I15,0)</f>
        <v>0.46220930232558138</v>
      </c>
      <c r="M16" s="257">
        <f t="shared" ref="M16" ca="1" si="7">IFERROR(M15/$I15,0)</f>
        <v>0.53779069767441856</v>
      </c>
      <c r="N16" s="640">
        <f t="shared" ref="N16" ca="1" si="8">IFERROR(N15/$I15,0)</f>
        <v>1</v>
      </c>
      <c r="O16" s="598" t="s">
        <v>22</v>
      </c>
    </row>
    <row r="17" spans="1:15" ht="20.25" customHeight="1" x14ac:dyDescent="0.45">
      <c r="A17" s="162" t="s">
        <v>23</v>
      </c>
      <c r="B17" s="650">
        <v>46103</v>
      </c>
      <c r="C17" s="1"/>
      <c r="D17" s="698" t="s">
        <v>24</v>
      </c>
      <c r="E17" s="700"/>
      <c r="F17" s="699"/>
      <c r="G17" s="698" t="s">
        <v>25</v>
      </c>
      <c r="H17" s="699"/>
      <c r="I17" s="698" t="s">
        <v>24</v>
      </c>
      <c r="J17" s="700"/>
      <c r="K17" s="700"/>
      <c r="L17" s="599">
        <f ca="1">L15/$C$15</f>
        <v>0.25315370483772198</v>
      </c>
      <c r="M17" s="597">
        <f ca="1">M15/$C$15</f>
        <v>0.29454990814451931</v>
      </c>
      <c r="N17" s="638">
        <f ca="1">N15/$C$15</f>
        <v>0.54770361298224124</v>
      </c>
      <c r="O17" s="598" t="s">
        <v>24</v>
      </c>
    </row>
    <row r="18" spans="1:15" ht="20.25" customHeight="1" x14ac:dyDescent="0.3">
      <c r="A18" s="163" t="s">
        <v>26</v>
      </c>
      <c r="B18" s="165" t="s">
        <v>27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5" ht="20.25" customHeight="1" x14ac:dyDescent="0.3">
      <c r="A19" s="427" t="s">
        <v>28</v>
      </c>
      <c r="B19" s="428">
        <v>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5" ht="21" customHeight="1" thickBot="1" x14ac:dyDescent="0.35">
      <c r="A20" s="164" t="s">
        <v>29</v>
      </c>
      <c r="B20" s="651" t="s">
        <v>30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5" ht="13" x14ac:dyDescent="0.3">
      <c r="A21" s="1"/>
      <c r="B21" s="1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5" ht="12.75" customHeight="1" x14ac:dyDescent="0.3">
      <c r="A22" s="1"/>
      <c r="B22" s="1"/>
      <c r="C22" s="2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5" ht="13" x14ac:dyDescent="0.3">
      <c r="A23" s="1"/>
      <c r="B23" s="1"/>
      <c r="C23" s="3"/>
      <c r="E23" s="4"/>
      <c r="F23" s="4"/>
      <c r="G23" s="1"/>
      <c r="H23" s="1"/>
      <c r="I23" s="1"/>
      <c r="J23" s="1"/>
      <c r="K23" s="1"/>
      <c r="L23" s="1"/>
      <c r="M23" s="1"/>
      <c r="N23" s="1"/>
    </row>
    <row r="24" spans="1:15" ht="13" x14ac:dyDescent="0.3">
      <c r="A24" s="1"/>
      <c r="B24" s="1"/>
      <c r="C24" s="5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5" ht="13" x14ac:dyDescent="0.3">
      <c r="A25" s="1"/>
      <c r="B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5" ht="13" x14ac:dyDescent="0.3">
      <c r="A26" s="1"/>
      <c r="B26" s="1"/>
      <c r="C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5" ht="13" x14ac:dyDescent="0.3">
      <c r="A27" s="1"/>
      <c r="B27" s="1"/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3" x14ac:dyDescent="0.3">
      <c r="A28" s="1"/>
      <c r="B28" s="1"/>
      <c r="C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3" x14ac:dyDescent="0.3">
      <c r="A29" s="1"/>
      <c r="B29" s="1"/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3" x14ac:dyDescent="0.3">
      <c r="A30" s="1"/>
      <c r="B30" s="1"/>
      <c r="C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3" x14ac:dyDescent="0.3">
      <c r="A31" s="1"/>
      <c r="B31" s="1"/>
      <c r="C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3" x14ac:dyDescent="0.3">
      <c r="A32" s="1"/>
      <c r="B32" s="1"/>
      <c r="C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3" x14ac:dyDescent="0.3">
      <c r="A33" s="1"/>
      <c r="B33" s="1"/>
      <c r="C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5" spans="1:14" ht="15.75" customHeight="1" x14ac:dyDescent="0.25">
      <c r="F35" s="223" t="s">
        <v>31</v>
      </c>
      <c r="G35" s="528">
        <v>0.5</v>
      </c>
    </row>
    <row r="36" spans="1:14" ht="15.75" customHeight="1" x14ac:dyDescent="0.25">
      <c r="F36" s="224" t="s">
        <v>32</v>
      </c>
      <c r="G36" s="528"/>
    </row>
    <row r="37" spans="1:14" ht="15.75" customHeight="1" x14ac:dyDescent="0.25">
      <c r="F37" s="225" t="s">
        <v>33</v>
      </c>
      <c r="G37" s="528"/>
    </row>
    <row r="38" spans="1:14" ht="15.75" customHeight="1" x14ac:dyDescent="0.3">
      <c r="F38" s="226" t="s">
        <v>34</v>
      </c>
      <c r="G38" s="529" t="s">
        <v>35</v>
      </c>
    </row>
    <row r="39" spans="1:14" ht="15.75" customHeight="1" thickBot="1" x14ac:dyDescent="0.3"/>
    <row r="40" spans="1:14" ht="15.75" customHeight="1" x14ac:dyDescent="0.25">
      <c r="F40" s="248" t="s">
        <v>36</v>
      </c>
      <c r="G40" s="254">
        <f>MATCH("Total exprimé",2:2,0)-12</f>
        <v>2</v>
      </c>
    </row>
    <row r="41" spans="1:14" ht="15.75" customHeight="1" thickBot="1" x14ac:dyDescent="0.3">
      <c r="F41" s="249" t="s">
        <v>37</v>
      </c>
      <c r="G41" s="255">
        <f>MATCH("TOTAL",B:B,0)-3</f>
        <v>12</v>
      </c>
    </row>
  </sheetData>
  <sheetProtection algorithmName="SHA-512" hashValue="pCuabxjLJaurCWeZFu1QbSs0zuqkdr4bHjEdXRRNMXaZnTpECmkRYYh3Gngcwp3aL9qaFuvJUtcv0LmaBWTVmQ==" saltValue="6NsHgUEQK0xTvHwM//uKFg==" spinCount="100000" sheet="1" objects="1" scenarios="1"/>
  <mergeCells count="3">
    <mergeCell ref="G17:H17"/>
    <mergeCell ref="D17:F17"/>
    <mergeCell ref="I17:K17"/>
  </mergeCells>
  <phoneticPr fontId="20" type="noConversion"/>
  <conditionalFormatting sqref="D16:K16 N16">
    <cfRule type="cellIs" dxfId="394" priority="33" operator="notBetween">
      <formula>0</formula>
      <formula>1</formula>
    </cfRule>
  </conditionalFormatting>
  <conditionalFormatting sqref="G3:N16 D3:F14 C15:F16">
    <cfRule type="cellIs" dxfId="393" priority="5" operator="lessThan">
      <formula>0</formula>
    </cfRule>
  </conditionalFormatting>
  <conditionalFormatting sqref="J3:J14">
    <cfRule type="cellIs" dxfId="392" priority="39" operator="notBetween">
      <formula>0</formula>
      <formula>"100%"</formula>
    </cfRule>
  </conditionalFormatting>
  <conditionalFormatting sqref="J15">
    <cfRule type="cellIs" dxfId="391" priority="2" operator="greaterThan">
      <formula>0.25*$C$15</formula>
    </cfRule>
  </conditionalFormatting>
  <conditionalFormatting sqref="J16">
    <cfRule type="cellIs" dxfId="390" priority="3" operator="greaterThan">
      <formula>0.25</formula>
    </cfRule>
  </conditionalFormatting>
  <conditionalFormatting sqref="L15:M15">
    <cfRule type="top10" dxfId="389" priority="618" rank="1"/>
    <cfRule type="cellIs" dxfId="388" priority="619" operator="lessThanOrEqual">
      <formula>$I$15*$G$35</formula>
    </cfRule>
    <cfRule type="cellIs" dxfId="387" priority="620" operator="greaterThan">
      <formula>$I$15*$G$37</formula>
    </cfRule>
    <cfRule type="cellIs" dxfId="386" priority="621" operator="greaterThan">
      <formula>$I$15*$G$36</formula>
    </cfRule>
  </conditionalFormatting>
  <conditionalFormatting sqref="L16:M16">
    <cfRule type="cellIs" dxfId="385" priority="10" operator="greaterThan">
      <formula>"100%"</formula>
    </cfRule>
    <cfRule type="top10" dxfId="384" priority="608" rank="1"/>
    <cfRule type="cellIs" dxfId="383" priority="609" operator="lessThanOrEqual">
      <formula>$G$35</formula>
    </cfRule>
    <cfRule type="cellIs" dxfId="382" priority="610" operator="greaterThan">
      <formula>$G$37</formula>
    </cfRule>
    <cfRule type="cellIs" dxfId="381" priority="611" operator="greaterThan">
      <formula>$G$36</formula>
    </cfRule>
  </conditionalFormatting>
  <conditionalFormatting sqref="N3:N14">
    <cfRule type="cellIs" dxfId="380" priority="19" operator="equal">
      <formula>I3</formula>
    </cfRule>
  </conditionalFormatting>
  <conditionalFormatting sqref="N3:N17 L15:M16">
    <cfRule type="cellIs" dxfId="379" priority="1" operator="equal">
      <formula>0</formula>
    </cfRule>
  </conditionalFormatting>
  <conditionalFormatting sqref="N15">
    <cfRule type="cellIs" dxfId="378" priority="16" operator="lessThan">
      <formula>I15</formula>
    </cfRule>
    <cfRule type="cellIs" dxfId="377" priority="18" operator="equal">
      <formula>$I$15</formula>
    </cfRule>
  </conditionalFormatting>
  <conditionalFormatting sqref="N16">
    <cfRule type="cellIs" dxfId="376" priority="32" operator="equal">
      <formula>1</formula>
    </cfRule>
    <cfRule type="cellIs" dxfId="375" priority="37" operator="lessThan">
      <formula>1</formula>
    </cfRule>
  </conditionalFormatting>
  <conditionalFormatting sqref="N17">
    <cfRule type="cellIs" dxfId="374" priority="4" operator="equal">
      <formula>$I$16</formula>
    </cfRule>
  </conditionalFormatting>
  <pageMargins left="0.25" right="0.25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4" tint="0.39997558519241921"/>
    <outlinePr summaryBelow="0" summaryRight="0"/>
  </sheetPr>
  <dimension ref="A1:AQ65"/>
  <sheetViews>
    <sheetView topLeftCell="I40" workbookViewId="0">
      <selection sqref="A1:B1"/>
    </sheetView>
  </sheetViews>
  <sheetFormatPr baseColWidth="10" defaultColWidth="13.7265625" defaultRowHeight="15.75" customHeight="1" x14ac:dyDescent="0.25"/>
  <cols>
    <col min="1" max="1" width="8.1796875" bestFit="1" customWidth="1"/>
    <col min="2" max="2" width="23" bestFit="1" customWidth="1"/>
    <col min="3" max="3" width="7.1796875" customWidth="1"/>
    <col min="4" max="4" width="8.1796875" customWidth="1"/>
    <col min="5" max="5" width="10.54296875" customWidth="1"/>
    <col min="6" max="6" width="8.54296875" customWidth="1"/>
    <col min="7" max="7" width="8.7265625" bestFit="1" customWidth="1"/>
    <col min="8" max="30" width="6.7265625" customWidth="1"/>
    <col min="31" max="31" width="10.1796875" customWidth="1"/>
    <col min="43" max="43" width="16.453125" customWidth="1"/>
  </cols>
  <sheetData>
    <row r="1" spans="1:43" ht="13.5" thickBot="1" x14ac:dyDescent="0.35">
      <c r="A1" s="703" t="s">
        <v>38</v>
      </c>
      <c r="B1" s="704"/>
      <c r="C1" s="714" t="s">
        <v>5</v>
      </c>
      <c r="D1" s="711"/>
      <c r="E1" s="702"/>
      <c r="F1" s="31" t="s">
        <v>3</v>
      </c>
      <c r="G1" s="703" t="s">
        <v>39</v>
      </c>
      <c r="H1" s="704"/>
      <c r="I1" s="703" t="s">
        <v>40</v>
      </c>
      <c r="J1" s="704"/>
      <c r="K1" s="703" t="s">
        <v>41</v>
      </c>
      <c r="L1" s="704"/>
      <c r="M1" s="701" t="s">
        <v>42</v>
      </c>
      <c r="N1" s="702"/>
      <c r="O1" s="703" t="s">
        <v>43</v>
      </c>
      <c r="P1" s="704"/>
      <c r="Q1" s="701" t="s">
        <v>44</v>
      </c>
      <c r="R1" s="711"/>
      <c r="S1" s="712" t="s">
        <v>45</v>
      </c>
      <c r="T1" s="713"/>
      <c r="U1" s="714" t="s">
        <v>46</v>
      </c>
      <c r="V1" s="702"/>
      <c r="W1" s="703" t="s">
        <v>47</v>
      </c>
      <c r="X1" s="704"/>
      <c r="Y1" s="701" t="s">
        <v>48</v>
      </c>
      <c r="Z1" s="702"/>
      <c r="AA1" s="719" t="s">
        <v>49</v>
      </c>
      <c r="AB1" s="720"/>
      <c r="AC1" s="721" t="s">
        <v>50</v>
      </c>
      <c r="AD1" s="722"/>
      <c r="AE1" s="62" t="s">
        <v>38</v>
      </c>
      <c r="AF1" s="63" t="s">
        <v>39</v>
      </c>
      <c r="AG1" s="64" t="s">
        <v>40</v>
      </c>
      <c r="AH1" s="64" t="s">
        <v>41</v>
      </c>
      <c r="AI1" s="64" t="s">
        <v>42</v>
      </c>
      <c r="AJ1" s="64" t="s">
        <v>43</v>
      </c>
      <c r="AK1" s="64" t="s">
        <v>44</v>
      </c>
      <c r="AL1" s="64" t="s">
        <v>45</v>
      </c>
      <c r="AM1" s="64" t="s">
        <v>46</v>
      </c>
      <c r="AN1" s="64" t="s">
        <v>47</v>
      </c>
      <c r="AO1" s="65" t="s">
        <v>48</v>
      </c>
      <c r="AP1" s="55" t="s">
        <v>49</v>
      </c>
      <c r="AQ1" s="54" t="s">
        <v>50</v>
      </c>
    </row>
    <row r="2" spans="1:43" ht="15.75" customHeight="1" x14ac:dyDescent="0.3">
      <c r="A2" s="19">
        <v>1</v>
      </c>
      <c r="B2" s="20" t="str">
        <f>Synthèse!B3</f>
        <v>Ecole Chabaud</v>
      </c>
      <c r="C2" s="193">
        <f ca="1">MAX(G2,I2,K2,M2,O2,Q2,S2,U2,W2,Y2,AA2,AC2)</f>
        <v>316</v>
      </c>
      <c r="D2" s="10">
        <f t="shared" ref="D2:D14" ca="1" si="0">C2/$F2</f>
        <v>0.5703971119133574</v>
      </c>
      <c r="E2" s="13">
        <f ca="1">D2</f>
        <v>0.5703971119133574</v>
      </c>
      <c r="F2" s="194">
        <f>Synthèse!C3</f>
        <v>554</v>
      </c>
      <c r="G2" s="195">
        <f ca="1">INDIRECT("'Bureau " &amp; ROW()-1 &amp; "'!" &amp; ADDRESS(4,Synthèse!$G$40+10,4))</f>
        <v>33</v>
      </c>
      <c r="H2" s="22">
        <f t="shared" ref="H2:H13" ca="1" si="1">G2/$F2</f>
        <v>5.9566787003610108E-2</v>
      </c>
      <c r="I2" s="196">
        <f ca="1">INDIRECT("'Bureau " &amp; ROW()-1 &amp; "'!" &amp; ADDRESS(5,Synthèse!$G$40+10,4))</f>
        <v>72</v>
      </c>
      <c r="J2" s="22">
        <f ca="1">I2/$F2</f>
        <v>0.1299638989169675</v>
      </c>
      <c r="K2" s="196">
        <f ca="1">INDIRECT("'Bureau " &amp; ROW()-1 &amp; "'!" &amp; ADDRESS(6,Synthèse!$G$40+10,4))</f>
        <v>123</v>
      </c>
      <c r="L2" s="23">
        <f ca="1">K2/$F2</f>
        <v>0.22202166064981949</v>
      </c>
      <c r="M2" s="197">
        <f ca="1">INDIRECT("'Bureau " &amp; ROW()-1 &amp; "'!" &amp; ADDRESS(7,Synthèse!$G$40+10,4))</f>
        <v>180</v>
      </c>
      <c r="N2" s="34">
        <f ca="1">M2/$F2</f>
        <v>0.32490974729241878</v>
      </c>
      <c r="O2" s="198">
        <f ca="1">INDIRECT("'Bureau " &amp; ROW()-1 &amp; "'!" &amp; ADDRESS(8,Synthèse!$G$40+10,4))</f>
        <v>212</v>
      </c>
      <c r="P2" s="23">
        <f ca="1">O2/$F2</f>
        <v>0.38267148014440433</v>
      </c>
      <c r="Q2" s="197">
        <f ca="1">INDIRECT("'Bureau " &amp; ROW()-1 &amp; "'!" &amp; ADDRESS(9,Synthèse!$G$40+10,4))</f>
        <v>232</v>
      </c>
      <c r="R2" s="34">
        <f ca="1">Q2/$F2</f>
        <v>0.41877256317689532</v>
      </c>
      <c r="S2" s="199">
        <f ca="1">INDIRECT("'Bureau " &amp; ROW()-1 &amp; "'!" &amp; ADDRESS(10,Synthèse!$G$40+10,4))</f>
        <v>255</v>
      </c>
      <c r="T2" s="45">
        <f ca="1">S2/$F2</f>
        <v>0.46028880866425992</v>
      </c>
      <c r="U2" s="197">
        <f ca="1">INDIRECT("'Bureau " &amp; ROW()-1 &amp; "'!" &amp; ADDRESS(11,Synthèse!$G$40+10,4))</f>
        <v>279</v>
      </c>
      <c r="V2" s="34">
        <f ca="1">U2/$F2</f>
        <v>0.50361010830324915</v>
      </c>
      <c r="W2" s="198">
        <f ca="1">INDIRECT("'Bureau " &amp; ROW()-1 &amp; "'!" &amp; ADDRESS(12,Synthèse!$G$40+10,4))</f>
        <v>302</v>
      </c>
      <c r="X2" s="23">
        <f ca="1">W2/$F2</f>
        <v>0.54512635379061369</v>
      </c>
      <c r="Y2" s="200">
        <f ca="1">INDIRECT("'Bureau " &amp; ROW()-1 &amp; "'!" &amp; ADDRESS(13,Synthèse!$G$40+10,4))</f>
        <v>316</v>
      </c>
      <c r="Z2" s="46">
        <f ca="1">Y2/$F2</f>
        <v>0.5703971119133574</v>
      </c>
      <c r="AA2" s="60">
        <f ca="1">INDIRECT("'Bureau " &amp; ROW()-1 &amp; "'!" &amp; ADDRESS(14,Synthèse!$G$40+10,4))</f>
        <v>0</v>
      </c>
      <c r="AB2" s="28">
        <f ca="1">AA2/$F2</f>
        <v>0</v>
      </c>
      <c r="AC2" s="61">
        <f ca="1">INDIRECT("'Bureau " &amp; ROW()-1 &amp; "'!" &amp; ADDRESS(15,Synthèse!$G$40+10,4))</f>
        <v>0</v>
      </c>
      <c r="AD2" s="49">
        <f ca="1">AC2/$F2</f>
        <v>0</v>
      </c>
      <c r="AE2" s="66">
        <v>1</v>
      </c>
      <c r="AF2" s="67">
        <v>5.9674502712477394E-2</v>
      </c>
      <c r="AG2" s="68">
        <v>0.1410488245931284</v>
      </c>
      <c r="AH2" s="68">
        <v>0.23508137432188064</v>
      </c>
      <c r="AI2" s="68">
        <v>0.33634719710669075</v>
      </c>
      <c r="AJ2" s="68">
        <v>0.37793851717902349</v>
      </c>
      <c r="AK2" s="68">
        <v>0.42495479204339964</v>
      </c>
      <c r="AL2" s="68">
        <v>0.46292947558770342</v>
      </c>
      <c r="AM2" s="68">
        <v>0.50994575045207957</v>
      </c>
      <c r="AN2" s="68">
        <v>0.54792043399638335</v>
      </c>
      <c r="AO2" s="69">
        <v>0.58408679927667273</v>
      </c>
      <c r="AP2" s="56">
        <v>0</v>
      </c>
      <c r="AQ2" s="53">
        <v>0</v>
      </c>
    </row>
    <row r="3" spans="1:43" ht="15.75" customHeight="1" x14ac:dyDescent="0.3">
      <c r="A3" s="19">
        <v>2</v>
      </c>
      <c r="B3" s="20" t="str">
        <f>Synthèse!B4</f>
        <v>Gymnase B</v>
      </c>
      <c r="C3" s="201">
        <f t="shared" ref="C3:C13" ca="1" si="2">MAX(G3,I3,K3,M3,O3,Q3,S3,U3,W3,Y3,AA3,AC3)</f>
        <v>433</v>
      </c>
      <c r="D3" s="11">
        <f t="shared" ca="1" si="0"/>
        <v>0.58513513513513515</v>
      </c>
      <c r="E3" s="14">
        <f t="shared" ref="E3:E14" ca="1" si="3">D3</f>
        <v>0.58513513513513515</v>
      </c>
      <c r="F3" s="202">
        <f>Synthèse!C4</f>
        <v>740</v>
      </c>
      <c r="G3" s="195">
        <f ca="1">INDIRECT("'Bureau " &amp; ROW()-1 &amp; "'!" &amp; ADDRESS(4,Synthèse!$G$40+10,4))</f>
        <v>50</v>
      </c>
      <c r="H3" s="24">
        <f t="shared" ca="1" si="1"/>
        <v>6.7567567567567571E-2</v>
      </c>
      <c r="I3" s="196">
        <f ca="1">INDIRECT("'Bureau " &amp; ROW()-1 &amp; "'!" &amp; ADDRESS(5,Synthèse!$G$40+10,4))</f>
        <v>90</v>
      </c>
      <c r="J3" s="24">
        <f t="shared" ref="J3:J13" ca="1" si="4">I3/$F3</f>
        <v>0.12162162162162163</v>
      </c>
      <c r="K3" s="196">
        <f ca="1">INDIRECT("'Bureau " &amp; ROW()-1 &amp; "'!" &amp; ADDRESS(6,Synthèse!$G$40+10,4))</f>
        <v>170</v>
      </c>
      <c r="L3" s="25">
        <f t="shared" ref="L3:L13" ca="1" si="5">K3/$F3</f>
        <v>0.22972972972972974</v>
      </c>
      <c r="M3" s="203">
        <f ca="1">INDIRECT("'Bureau " &amp; ROW()-1 &amp; "'!" &amp; ADDRESS(7,Synthèse!$G$40+10,4))</f>
        <v>230</v>
      </c>
      <c r="N3" s="35">
        <f t="shared" ref="N3:N13" ca="1" si="6">M3/$F3</f>
        <v>0.3108108108108108</v>
      </c>
      <c r="O3" s="198">
        <f ca="1">INDIRECT("'Bureau " &amp; ROW()-1 &amp; "'!" &amp; ADDRESS(8,Synthèse!$G$40+10,4))</f>
        <v>288</v>
      </c>
      <c r="P3" s="25">
        <f t="shared" ref="P3:P13" ca="1" si="7">O3/$F3</f>
        <v>0.38918918918918921</v>
      </c>
      <c r="Q3" s="203">
        <f ca="1">INDIRECT("'Bureau " &amp; ROW()-1 &amp; "'!" &amp; ADDRESS(9,Synthèse!$G$40+10,4))</f>
        <v>314</v>
      </c>
      <c r="R3" s="35">
        <f t="shared" ref="R3:R13" ca="1" si="8">Q3/$F3</f>
        <v>0.42432432432432432</v>
      </c>
      <c r="S3" s="199">
        <f ca="1">INDIRECT("'Bureau " &amp; ROW()-1 &amp; "'!" &amp; ADDRESS(10,Synthèse!$G$40+10,4))</f>
        <v>340</v>
      </c>
      <c r="T3" s="11">
        <f t="shared" ref="T3:T13" ca="1" si="9">S3/$F3</f>
        <v>0.45945945945945948</v>
      </c>
      <c r="U3" s="203">
        <f ca="1">INDIRECT("'Bureau " &amp; ROW()-1 &amp; "'!" &amp; ADDRESS(11,Synthèse!$G$40+10,4))</f>
        <v>370</v>
      </c>
      <c r="V3" s="35">
        <f t="shared" ref="V3:V13" ca="1" si="10">U3/$F3</f>
        <v>0.5</v>
      </c>
      <c r="W3" s="198">
        <f ca="1">INDIRECT("'Bureau " &amp; ROW()-1 &amp; "'!" &amp; ADDRESS(12,Synthèse!$G$40+10,4))</f>
        <v>402</v>
      </c>
      <c r="X3" s="25">
        <f t="shared" ref="X3:X13" ca="1" si="11">W3/$F3</f>
        <v>0.54324324324324325</v>
      </c>
      <c r="Y3" s="204">
        <f ca="1">INDIRECT("'Bureau " &amp; ROW()-1 &amp; "'!" &amp; ADDRESS(13,Synthèse!$G$40+10,4))</f>
        <v>433</v>
      </c>
      <c r="Z3" s="47">
        <f t="shared" ref="Z3:Z13" ca="1" si="12">Y3/$F3</f>
        <v>0.58513513513513515</v>
      </c>
      <c r="AA3" s="60">
        <f ca="1">INDIRECT("'Bureau " &amp; ROW()-1 &amp; "'!" &amp; ADDRESS(14,Synthèse!$G$40+10,4))</f>
        <v>0</v>
      </c>
      <c r="AB3" s="29">
        <f t="shared" ref="AB3:AB13" ca="1" si="13">AA3/$F3</f>
        <v>0</v>
      </c>
      <c r="AC3" s="61">
        <f ca="1">INDIRECT("'Bureau " &amp; ROW()-1 &amp; "'!" &amp; ADDRESS(15,Synthèse!$G$40+10,4))</f>
        <v>0</v>
      </c>
      <c r="AD3" s="50">
        <f t="shared" ref="AD3:AD13" ca="1" si="14">AC3/$F3</f>
        <v>0</v>
      </c>
      <c r="AE3" s="66">
        <v>2</v>
      </c>
      <c r="AF3" s="70">
        <v>6.0810810810810814E-2</v>
      </c>
      <c r="AG3" s="71">
        <v>0.10810810810810811</v>
      </c>
      <c r="AH3" s="71">
        <v>0.1891891891891892</v>
      </c>
      <c r="AI3" s="71">
        <v>0.3108108108108108</v>
      </c>
      <c r="AJ3" s="71">
        <v>0.38918918918918921</v>
      </c>
      <c r="AK3" s="71">
        <v>0.41891891891891891</v>
      </c>
      <c r="AL3" s="71">
        <v>0.48648648648648651</v>
      </c>
      <c r="AM3" s="71">
        <v>0.52702702702702697</v>
      </c>
      <c r="AN3" s="71">
        <v>0.56081081081081086</v>
      </c>
      <c r="AO3" s="72">
        <v>0.59864864864864864</v>
      </c>
      <c r="AP3" s="57">
        <v>0</v>
      </c>
      <c r="AQ3" s="52">
        <v>0</v>
      </c>
    </row>
    <row r="4" spans="1:43" ht="15.75" customHeight="1" x14ac:dyDescent="0.3">
      <c r="A4" s="19">
        <v>3</v>
      </c>
      <c r="B4" s="20" t="str">
        <f>Synthèse!B5</f>
        <v>Gymnase B</v>
      </c>
      <c r="C4" s="201">
        <f t="shared" ca="1" si="2"/>
        <v>480</v>
      </c>
      <c r="D4" s="11">
        <f t="shared" ca="1" si="0"/>
        <v>0.67226890756302526</v>
      </c>
      <c r="E4" s="14">
        <f t="shared" ca="1" si="3"/>
        <v>0.67226890756302526</v>
      </c>
      <c r="F4" s="202">
        <f>Synthèse!C5</f>
        <v>714</v>
      </c>
      <c r="G4" s="195">
        <f ca="1">INDIRECT("'Bureau " &amp; ROW()-1 &amp; "'!" &amp; ADDRESS(4,Synthèse!$G$40+10,4))</f>
        <v>50</v>
      </c>
      <c r="H4" s="24">
        <f t="shared" ca="1" si="1"/>
        <v>7.0028011204481794E-2</v>
      </c>
      <c r="I4" s="196">
        <f ca="1">INDIRECT("'Bureau " &amp; ROW()-1 &amp; "'!" &amp; ADDRESS(5,Synthèse!$G$40+10,4))</f>
        <v>100</v>
      </c>
      <c r="J4" s="24">
        <f t="shared" ca="1" si="4"/>
        <v>0.14005602240896359</v>
      </c>
      <c r="K4" s="196">
        <f ca="1">INDIRECT("'Bureau " &amp; ROW()-1 &amp; "'!" &amp; ADDRESS(6,Synthèse!$G$40+10,4))</f>
        <v>180</v>
      </c>
      <c r="L4" s="25">
        <f t="shared" ca="1" si="5"/>
        <v>0.25210084033613445</v>
      </c>
      <c r="M4" s="203">
        <f ca="1">INDIRECT("'Bureau " &amp; ROW()-1 &amp; "'!" &amp; ADDRESS(7,Synthèse!$G$40+10,4))</f>
        <v>260</v>
      </c>
      <c r="N4" s="35">
        <f t="shared" ca="1" si="6"/>
        <v>0.36414565826330531</v>
      </c>
      <c r="O4" s="198">
        <f ca="1">INDIRECT("'Bureau " &amp; ROW()-1 &amp; "'!" &amp; ADDRESS(8,Synthèse!$G$40+10,4))</f>
        <v>310</v>
      </c>
      <c r="P4" s="25">
        <f t="shared" ca="1" si="7"/>
        <v>0.43417366946778713</v>
      </c>
      <c r="Q4" s="203">
        <f ca="1">INDIRECT("'Bureau " &amp; ROW()-1 &amp; "'!" &amp; ADDRESS(9,Synthèse!$G$40+10,4))</f>
        <v>330</v>
      </c>
      <c r="R4" s="35">
        <f t="shared" ca="1" si="8"/>
        <v>0.46218487394957986</v>
      </c>
      <c r="S4" s="199">
        <f ca="1">INDIRECT("'Bureau " &amp; ROW()-1 &amp; "'!" &amp; ADDRESS(10,Synthèse!$G$40+10,4))</f>
        <v>370</v>
      </c>
      <c r="T4" s="11">
        <f t="shared" ca="1" si="9"/>
        <v>0.51820728291316531</v>
      </c>
      <c r="U4" s="203">
        <f ca="1">INDIRECT("'Bureau " &amp; ROW()-1 &amp; "'!" &amp; ADDRESS(11,Synthèse!$G$40+10,4))</f>
        <v>420</v>
      </c>
      <c r="V4" s="35">
        <f t="shared" ca="1" si="10"/>
        <v>0.58823529411764708</v>
      </c>
      <c r="W4" s="198">
        <f ca="1">INDIRECT("'Bureau " &amp; ROW()-1 &amp; "'!" &amp; ADDRESS(12,Synthèse!$G$40+10,4))</f>
        <v>460</v>
      </c>
      <c r="X4" s="25">
        <f t="shared" ca="1" si="11"/>
        <v>0.64425770308123254</v>
      </c>
      <c r="Y4" s="204">
        <f ca="1">INDIRECT("'Bureau " &amp; ROW()-1 &amp; "'!" &amp; ADDRESS(13,Synthèse!$G$40+10,4))</f>
        <v>480</v>
      </c>
      <c r="Z4" s="47">
        <f t="shared" ca="1" si="12"/>
        <v>0.67226890756302526</v>
      </c>
      <c r="AA4" s="60">
        <f ca="1">INDIRECT("'Bureau " &amp; ROW()-1 &amp; "'!" &amp; ADDRESS(14,Synthèse!$G$40+10,4))</f>
        <v>0</v>
      </c>
      <c r="AB4" s="29">
        <f t="shared" ca="1" si="13"/>
        <v>0</v>
      </c>
      <c r="AC4" s="61">
        <f ca="1">INDIRECT("'Bureau " &amp; ROW()-1 &amp; "'!" &amp; ADDRESS(15,Synthèse!$G$40+10,4))</f>
        <v>0</v>
      </c>
      <c r="AD4" s="50">
        <f t="shared" ca="1" si="14"/>
        <v>0</v>
      </c>
      <c r="AE4" s="66">
        <v>3</v>
      </c>
      <c r="AF4" s="70">
        <v>5.6100981767180924E-2</v>
      </c>
      <c r="AG4" s="71">
        <v>0.15427769985974754</v>
      </c>
      <c r="AH4" s="71">
        <v>0.26647966339410939</v>
      </c>
      <c r="AI4" s="71">
        <v>0.37868162692847124</v>
      </c>
      <c r="AJ4" s="71">
        <v>0.43478260869565216</v>
      </c>
      <c r="AK4" s="71">
        <v>0.50490883590462832</v>
      </c>
      <c r="AL4" s="71">
        <v>0.57503506311360453</v>
      </c>
      <c r="AM4" s="71">
        <v>0.61711079943899017</v>
      </c>
      <c r="AN4" s="71">
        <v>0.65918653576437591</v>
      </c>
      <c r="AO4" s="72">
        <v>0.67882187938288918</v>
      </c>
      <c r="AP4" s="57">
        <v>0</v>
      </c>
      <c r="AQ4" s="52">
        <v>0</v>
      </c>
    </row>
    <row r="5" spans="1:43" ht="15.75" customHeight="1" x14ac:dyDescent="0.3">
      <c r="A5" s="19">
        <v>4</v>
      </c>
      <c r="B5" s="20" t="str">
        <f>Synthèse!B6</f>
        <v>Gymnase B</v>
      </c>
      <c r="C5" s="201">
        <f t="shared" ca="1" si="2"/>
        <v>382</v>
      </c>
      <c r="D5" s="11">
        <f t="shared" ca="1" si="0"/>
        <v>0.5625920471281296</v>
      </c>
      <c r="E5" s="14">
        <f t="shared" ca="1" si="3"/>
        <v>0.5625920471281296</v>
      </c>
      <c r="F5" s="202">
        <f>Synthèse!C6</f>
        <v>679</v>
      </c>
      <c r="G5" s="195">
        <f ca="1">INDIRECT("'Bureau " &amp; ROW()-1 &amp; "'!" &amp; ADDRESS(4,Synthèse!$G$40+10,4))</f>
        <v>44</v>
      </c>
      <c r="H5" s="24">
        <f t="shared" ca="1" si="1"/>
        <v>6.4801178203240065E-2</v>
      </c>
      <c r="I5" s="196">
        <f ca="1">INDIRECT("'Bureau " &amp; ROW()-1 &amp; "'!" &amp; ADDRESS(5,Synthèse!$G$40+10,4))</f>
        <v>110</v>
      </c>
      <c r="J5" s="24">
        <f t="shared" ca="1" si="4"/>
        <v>0.16200294550810015</v>
      </c>
      <c r="K5" s="196">
        <f ca="1">INDIRECT("'Bureau " &amp; ROW()-1 &amp; "'!" &amp; ADDRESS(6,Synthèse!$G$40+10,4))</f>
        <v>183</v>
      </c>
      <c r="L5" s="25">
        <f t="shared" ca="1" si="5"/>
        <v>0.26951399116347569</v>
      </c>
      <c r="M5" s="203">
        <f ca="1">INDIRECT("'Bureau " &amp; ROW()-1 &amp; "'!" &amp; ADDRESS(7,Synthèse!$G$40+10,4))</f>
        <v>220</v>
      </c>
      <c r="N5" s="35">
        <f t="shared" ca="1" si="6"/>
        <v>0.32400589101620031</v>
      </c>
      <c r="O5" s="198">
        <f ca="1">INDIRECT("'Bureau " &amp; ROW()-1 &amp; "'!" &amp; ADDRESS(8,Synthèse!$G$40+10,4))</f>
        <v>260</v>
      </c>
      <c r="P5" s="25">
        <f t="shared" ca="1" si="7"/>
        <v>0.38291605301914583</v>
      </c>
      <c r="Q5" s="203">
        <f ca="1">INDIRECT("'Bureau " &amp; ROW()-1 &amp; "'!" &amp; ADDRESS(9,Synthèse!$G$40+10,4))</f>
        <v>295</v>
      </c>
      <c r="R5" s="35">
        <f t="shared" ca="1" si="8"/>
        <v>0.43446244477172313</v>
      </c>
      <c r="S5" s="199">
        <f ca="1">INDIRECT("'Bureau " &amp; ROW()-1 &amp; "'!" &amp; ADDRESS(10,Synthèse!$G$40+10,4))</f>
        <v>327</v>
      </c>
      <c r="T5" s="11">
        <f t="shared" ca="1" si="9"/>
        <v>0.48159057437407954</v>
      </c>
      <c r="U5" s="203">
        <f ca="1">INDIRECT("'Bureau " &amp; ROW()-1 &amp; "'!" &amp; ADDRESS(11,Synthèse!$G$40+10,4))</f>
        <v>344</v>
      </c>
      <c r="V5" s="35">
        <f t="shared" ca="1" si="10"/>
        <v>0.50662739322533135</v>
      </c>
      <c r="W5" s="198">
        <f ca="1">INDIRECT("'Bureau " &amp; ROW()-1 &amp; "'!" &amp; ADDRESS(12,Synthèse!$G$40+10,4))</f>
        <v>367</v>
      </c>
      <c r="X5" s="25">
        <f t="shared" ca="1" si="11"/>
        <v>0.540500736377025</v>
      </c>
      <c r="Y5" s="204">
        <f ca="1">INDIRECT("'Bureau " &amp; ROW()-1 &amp; "'!" &amp; ADDRESS(13,Synthèse!$G$40+10,4))</f>
        <v>382</v>
      </c>
      <c r="Z5" s="47">
        <f t="shared" ca="1" si="12"/>
        <v>0.5625920471281296</v>
      </c>
      <c r="AA5" s="60">
        <f ca="1">INDIRECT("'Bureau " &amp; ROW()-1 &amp; "'!" &amp; ADDRESS(14,Synthèse!$G$40+10,4))</f>
        <v>0</v>
      </c>
      <c r="AB5" s="29">
        <f t="shared" ca="1" si="13"/>
        <v>0</v>
      </c>
      <c r="AC5" s="61">
        <f ca="1">INDIRECT("'Bureau " &amp; ROW()-1 &amp; "'!" &amp; ADDRESS(15,Synthèse!$G$40+10,4))</f>
        <v>0</v>
      </c>
      <c r="AD5" s="50">
        <f t="shared" ca="1" si="14"/>
        <v>0</v>
      </c>
      <c r="AE5" s="66">
        <v>4</v>
      </c>
      <c r="AF5" s="70">
        <v>4.8600883652430045E-2</v>
      </c>
      <c r="AG5" s="71">
        <v>0.10014727540500737</v>
      </c>
      <c r="AH5" s="71">
        <v>0.203240058910162</v>
      </c>
      <c r="AI5" s="71">
        <v>0.2768777614138439</v>
      </c>
      <c r="AJ5" s="71">
        <v>0.3328424153166421</v>
      </c>
      <c r="AK5" s="71">
        <v>0.39175257731958762</v>
      </c>
      <c r="AL5" s="71">
        <v>0.45066273932253315</v>
      </c>
      <c r="AM5" s="71">
        <v>0.49484536082474229</v>
      </c>
      <c r="AN5" s="71">
        <v>0.51693667157584688</v>
      </c>
      <c r="AO5" s="72">
        <v>0.53460972017673047</v>
      </c>
      <c r="AP5" s="57">
        <v>0</v>
      </c>
      <c r="AQ5" s="52">
        <v>0</v>
      </c>
    </row>
    <row r="6" spans="1:43" ht="15.75" customHeight="1" x14ac:dyDescent="0.3">
      <c r="A6" s="19">
        <v>5</v>
      </c>
      <c r="B6" s="20" t="str">
        <f>Synthèse!B7</f>
        <v>COSEC</v>
      </c>
      <c r="C6" s="201">
        <f t="shared" ca="1" si="2"/>
        <v>475</v>
      </c>
      <c r="D6" s="11">
        <f t="shared" ca="1" si="0"/>
        <v>0.67760342368045645</v>
      </c>
      <c r="E6" s="14">
        <f t="shared" ca="1" si="3"/>
        <v>0.67760342368045645</v>
      </c>
      <c r="F6" s="202">
        <f>Synthèse!C7</f>
        <v>701</v>
      </c>
      <c r="G6" s="195">
        <f ca="1">INDIRECT("'Bureau " &amp; ROW()-1 &amp; "'!" &amp; ADDRESS(4,Synthèse!$G$40+10,4))</f>
        <v>45</v>
      </c>
      <c r="H6" s="24">
        <f t="shared" ca="1" si="1"/>
        <v>6.4194008559201141E-2</v>
      </c>
      <c r="I6" s="196">
        <f ca="1">INDIRECT("'Bureau " &amp; ROW()-1 &amp; "'!" &amp; ADDRESS(5,Synthèse!$G$40+10,4))</f>
        <v>110</v>
      </c>
      <c r="J6" s="24">
        <f t="shared" ca="1" si="4"/>
        <v>0.15691868758915833</v>
      </c>
      <c r="K6" s="196">
        <f ca="1">INDIRECT("'Bureau " &amp; ROW()-1 &amp; "'!" &amp; ADDRESS(6,Synthèse!$G$40+10,4))</f>
        <v>200</v>
      </c>
      <c r="L6" s="25">
        <f t="shared" ca="1" si="5"/>
        <v>0.28530670470756064</v>
      </c>
      <c r="M6" s="203">
        <f ca="1">INDIRECT("'Bureau " &amp; ROW()-1 &amp; "'!" &amp; ADDRESS(7,Synthèse!$G$40+10,4))</f>
        <v>271</v>
      </c>
      <c r="N6" s="35">
        <f t="shared" ca="1" si="6"/>
        <v>0.38659058487874465</v>
      </c>
      <c r="O6" s="198">
        <f ca="1">INDIRECT("'Bureau " &amp; ROW()-1 &amp; "'!" &amp; ADDRESS(8,Synthèse!$G$40+10,4))</f>
        <v>331</v>
      </c>
      <c r="P6" s="25">
        <f t="shared" ca="1" si="7"/>
        <v>0.47218259629101283</v>
      </c>
      <c r="Q6" s="203">
        <f ca="1">INDIRECT("'Bureau " &amp; ROW()-1 &amp; "'!" &amp; ADDRESS(9,Synthèse!$G$40+10,4))</f>
        <v>355</v>
      </c>
      <c r="R6" s="35">
        <f t="shared" ca="1" si="8"/>
        <v>0.50641940085592008</v>
      </c>
      <c r="S6" s="199">
        <f ca="1">INDIRECT("'Bureau " &amp; ROW()-1 &amp; "'!" &amp; ADDRESS(10,Synthèse!$G$40+10,4))</f>
        <v>390</v>
      </c>
      <c r="T6" s="11">
        <f t="shared" ca="1" si="9"/>
        <v>0.55634807417974319</v>
      </c>
      <c r="U6" s="203">
        <f ca="1">INDIRECT("'Bureau " &amp; ROW()-1 &amp; "'!" &amp; ADDRESS(11,Synthèse!$G$40+10,4))</f>
        <v>420</v>
      </c>
      <c r="V6" s="35">
        <f t="shared" ca="1" si="10"/>
        <v>0.59914407988587737</v>
      </c>
      <c r="W6" s="198">
        <f ca="1">INDIRECT("'Bureau " &amp; ROW()-1 &amp; "'!" &amp; ADDRESS(12,Synthèse!$G$40+10,4))</f>
        <v>447</v>
      </c>
      <c r="X6" s="25">
        <f t="shared" ca="1" si="11"/>
        <v>0.63766048502139805</v>
      </c>
      <c r="Y6" s="204">
        <f ca="1">INDIRECT("'Bureau " &amp; ROW()-1 &amp; "'!" &amp; ADDRESS(13,Synthèse!$G$40+10,4))</f>
        <v>475</v>
      </c>
      <c r="Z6" s="47">
        <f t="shared" ca="1" si="12"/>
        <v>0.67760342368045645</v>
      </c>
      <c r="AA6" s="60">
        <f ca="1">INDIRECT("'Bureau " &amp; ROW()-1 &amp; "'!" &amp; ADDRESS(14,Synthèse!$G$40+10,4))</f>
        <v>0</v>
      </c>
      <c r="AB6" s="29">
        <f t="shared" ca="1" si="13"/>
        <v>0</v>
      </c>
      <c r="AC6" s="61">
        <f ca="1">INDIRECT("'Bureau " &amp; ROW()-1 &amp; "'!" &amp; ADDRESS(15,Synthèse!$G$40+10,4))</f>
        <v>0</v>
      </c>
      <c r="AD6" s="50">
        <f t="shared" ca="1" si="14"/>
        <v>0</v>
      </c>
      <c r="AE6" s="66">
        <v>5</v>
      </c>
      <c r="AF6" s="70">
        <v>5.2781740370898715E-2</v>
      </c>
      <c r="AG6" s="71">
        <v>0.13266761768901569</v>
      </c>
      <c r="AH6" s="71">
        <v>0.22824536376604851</v>
      </c>
      <c r="AI6" s="71">
        <v>0.34236804564907275</v>
      </c>
      <c r="AJ6" s="71">
        <v>0.4136947218259629</v>
      </c>
      <c r="AK6" s="71">
        <v>0.46362339514978601</v>
      </c>
      <c r="AL6" s="71">
        <v>0.53495007132667616</v>
      </c>
      <c r="AM6" s="71">
        <v>0.59914407988587737</v>
      </c>
      <c r="AN6" s="71">
        <v>0.6205420827389444</v>
      </c>
      <c r="AO6" s="72">
        <v>0.64479315263908699</v>
      </c>
      <c r="AP6" s="57">
        <v>0</v>
      </c>
      <c r="AQ6" s="52">
        <v>0</v>
      </c>
    </row>
    <row r="7" spans="1:43" ht="15.75" customHeight="1" x14ac:dyDescent="0.3">
      <c r="A7" s="19">
        <v>6</v>
      </c>
      <c r="B7" s="20" t="str">
        <f>Synthèse!B8</f>
        <v>COSEC</v>
      </c>
      <c r="C7" s="201">
        <f t="shared" ca="1" si="2"/>
        <v>380</v>
      </c>
      <c r="D7" s="11">
        <f t="shared" ca="1" si="0"/>
        <v>0.53521126760563376</v>
      </c>
      <c r="E7" s="14">
        <f t="shared" ca="1" si="3"/>
        <v>0.53521126760563376</v>
      </c>
      <c r="F7" s="202">
        <f>Synthèse!C8</f>
        <v>710</v>
      </c>
      <c r="G7" s="195">
        <f ca="1">INDIRECT("'Bureau " &amp; ROW()-1 &amp; "'!" &amp; ADDRESS(4,Synthèse!$G$40+10,4))</f>
        <v>48</v>
      </c>
      <c r="H7" s="24">
        <f t="shared" ca="1" si="1"/>
        <v>6.7605633802816895E-2</v>
      </c>
      <c r="I7" s="196">
        <f ca="1">INDIRECT("'Bureau " &amp; ROW()-1 &amp; "'!" &amp; ADDRESS(5,Synthèse!$G$40+10,4))</f>
        <v>100</v>
      </c>
      <c r="J7" s="24">
        <f t="shared" ca="1" si="4"/>
        <v>0.14084507042253522</v>
      </c>
      <c r="K7" s="196">
        <f ca="1">INDIRECT("'Bureau " &amp; ROW()-1 &amp; "'!" &amp; ADDRESS(6,Synthèse!$G$40+10,4))</f>
        <v>156</v>
      </c>
      <c r="L7" s="25">
        <f t="shared" ca="1" si="5"/>
        <v>0.21971830985915494</v>
      </c>
      <c r="M7" s="203">
        <f ca="1">INDIRECT("'Bureau " &amp; ROW()-1 &amp; "'!" &amp; ADDRESS(7,Synthèse!$G$40+10,4))</f>
        <v>213</v>
      </c>
      <c r="N7" s="35">
        <f t="shared" ca="1" si="6"/>
        <v>0.3</v>
      </c>
      <c r="O7" s="198">
        <f ca="1">INDIRECT("'Bureau " &amp; ROW()-1 &amp; "'!" &amp; ADDRESS(8,Synthèse!$G$40+10,4))</f>
        <v>258</v>
      </c>
      <c r="P7" s="25">
        <f t="shared" ca="1" si="7"/>
        <v>0.36338028169014086</v>
      </c>
      <c r="Q7" s="203">
        <f ca="1">INDIRECT("'Bureau " &amp; ROW()-1 &amp; "'!" &amp; ADDRESS(9,Synthèse!$G$40+10,4))</f>
        <v>284</v>
      </c>
      <c r="R7" s="35">
        <f t="shared" ca="1" si="8"/>
        <v>0.4</v>
      </c>
      <c r="S7" s="199">
        <f ca="1">INDIRECT("'Bureau " &amp; ROW()-1 &amp; "'!" &amp; ADDRESS(10,Synthèse!$G$40+10,4))</f>
        <v>320</v>
      </c>
      <c r="T7" s="11">
        <f t="shared" ca="1" si="9"/>
        <v>0.45070422535211269</v>
      </c>
      <c r="U7" s="203">
        <f ca="1">INDIRECT("'Bureau " &amp; ROW()-1 &amp; "'!" &amp; ADDRESS(11,Synthèse!$G$40+10,4))</f>
        <v>340</v>
      </c>
      <c r="V7" s="35">
        <f t="shared" ca="1" si="10"/>
        <v>0.47887323943661969</v>
      </c>
      <c r="W7" s="198">
        <f ca="1">INDIRECT("'Bureau " &amp; ROW()-1 &amp; "'!" &amp; ADDRESS(12,Synthèse!$G$40+10,4))</f>
        <v>362</v>
      </c>
      <c r="X7" s="25">
        <f t="shared" ca="1" si="11"/>
        <v>0.50985915492957745</v>
      </c>
      <c r="Y7" s="204">
        <f ca="1">INDIRECT("'Bureau " &amp; ROW()-1 &amp; "'!" &amp; ADDRESS(13,Synthèse!$G$40+10,4))</f>
        <v>380</v>
      </c>
      <c r="Z7" s="47">
        <f t="shared" ca="1" si="12"/>
        <v>0.53521126760563376</v>
      </c>
      <c r="AA7" s="60">
        <f ca="1">INDIRECT("'Bureau " &amp; ROW()-1 &amp; "'!" &amp; ADDRESS(14,Synthèse!$G$40+10,4))</f>
        <v>0</v>
      </c>
      <c r="AB7" s="29">
        <f t="shared" ca="1" si="13"/>
        <v>0</v>
      </c>
      <c r="AC7" s="61">
        <f ca="1">INDIRECT("'Bureau " &amp; ROW()-1 &amp; "'!" &amp; ADDRESS(15,Synthèse!$G$40+10,4))</f>
        <v>0</v>
      </c>
      <c r="AD7" s="50">
        <f t="shared" ca="1" si="14"/>
        <v>0</v>
      </c>
      <c r="AE7" s="66">
        <v>6</v>
      </c>
      <c r="AF7" s="70">
        <v>4.2253521126760563E-2</v>
      </c>
      <c r="AG7" s="71">
        <v>0.11971830985915492</v>
      </c>
      <c r="AH7" s="71">
        <v>0.19718309859154928</v>
      </c>
      <c r="AI7" s="71">
        <v>0.26760563380281688</v>
      </c>
      <c r="AJ7" s="71">
        <v>0.33380281690140845</v>
      </c>
      <c r="AK7" s="71">
        <v>0.38732394366197181</v>
      </c>
      <c r="AL7" s="71">
        <v>0.42957746478873238</v>
      </c>
      <c r="AM7" s="71">
        <v>0.47323943661971829</v>
      </c>
      <c r="AN7" s="71">
        <v>0.5</v>
      </c>
      <c r="AO7" s="72">
        <v>0.5169014084507042</v>
      </c>
      <c r="AP7" s="57">
        <v>0</v>
      </c>
      <c r="AQ7" s="52">
        <v>0</v>
      </c>
    </row>
    <row r="8" spans="1:43" ht="15.75" customHeight="1" x14ac:dyDescent="0.3">
      <c r="A8" s="19">
        <v>7</v>
      </c>
      <c r="B8" s="20" t="str">
        <f>Synthèse!B9</f>
        <v>COSEC</v>
      </c>
      <c r="C8" s="201">
        <f t="shared" ca="1" si="2"/>
        <v>430</v>
      </c>
      <c r="D8" s="11">
        <f t="shared" ca="1" si="0"/>
        <v>0.58823529411764708</v>
      </c>
      <c r="E8" s="14">
        <f t="shared" ca="1" si="3"/>
        <v>0.58823529411764708</v>
      </c>
      <c r="F8" s="202">
        <f>Synthèse!C9</f>
        <v>731</v>
      </c>
      <c r="G8" s="195">
        <f ca="1">INDIRECT("'Bureau " &amp; ROW()-1 &amp; "'!" &amp; ADDRESS(4,Synthèse!$G$40+10,4))</f>
        <v>30</v>
      </c>
      <c r="H8" s="24">
        <f t="shared" ca="1" si="1"/>
        <v>4.1039671682626538E-2</v>
      </c>
      <c r="I8" s="196">
        <f ca="1">INDIRECT("'Bureau " &amp; ROW()-1 &amp; "'!" &amp; ADDRESS(5,Synthèse!$G$40+10,4))</f>
        <v>90</v>
      </c>
      <c r="J8" s="24">
        <f t="shared" ca="1" si="4"/>
        <v>0.12311901504787962</v>
      </c>
      <c r="K8" s="196">
        <f ca="1">INDIRECT("'Bureau " &amp; ROW()-1 &amp; "'!" &amp; ADDRESS(6,Synthèse!$G$40+10,4))</f>
        <v>160</v>
      </c>
      <c r="L8" s="25">
        <f t="shared" ca="1" si="5"/>
        <v>0.2188782489740082</v>
      </c>
      <c r="M8" s="203">
        <f ca="1">INDIRECT("'Bureau " &amp; ROW()-1 &amp; "'!" &amp; ADDRESS(7,Synthèse!$G$40+10,4))</f>
        <v>230</v>
      </c>
      <c r="N8" s="35">
        <f t="shared" ca="1" si="6"/>
        <v>0.31463748290013682</v>
      </c>
      <c r="O8" s="198">
        <f ca="1">INDIRECT("'Bureau " &amp; ROW()-1 &amp; "'!" &amp; ADDRESS(8,Synthèse!$G$40+10,4))</f>
        <v>280</v>
      </c>
      <c r="P8" s="25">
        <f t="shared" ca="1" si="7"/>
        <v>0.38303693570451436</v>
      </c>
      <c r="Q8" s="203">
        <f ca="1">INDIRECT("'Bureau " &amp; ROW()-1 &amp; "'!" &amp; ADDRESS(9,Synthèse!$G$40+10,4))</f>
        <v>310</v>
      </c>
      <c r="R8" s="35">
        <f t="shared" ca="1" si="8"/>
        <v>0.42407660738714092</v>
      </c>
      <c r="S8" s="199">
        <f ca="1">INDIRECT("'Bureau " &amp; ROW()-1 &amp; "'!" &amp; ADDRESS(10,Synthèse!$G$40+10,4))</f>
        <v>330</v>
      </c>
      <c r="T8" s="11">
        <f t="shared" ca="1" si="9"/>
        <v>0.45143638850889195</v>
      </c>
      <c r="U8" s="203">
        <f ca="1">INDIRECT("'Bureau " &amp; ROW()-1 &amp; "'!" &amp; ADDRESS(11,Synthèse!$G$40+10,4))</f>
        <v>375</v>
      </c>
      <c r="V8" s="35">
        <f t="shared" ca="1" si="10"/>
        <v>0.51299589603283169</v>
      </c>
      <c r="W8" s="198">
        <f ca="1">INDIRECT("'Bureau " &amp; ROW()-1 &amp; "'!" &amp; ADDRESS(12,Synthèse!$G$40+10,4))</f>
        <v>410</v>
      </c>
      <c r="X8" s="25">
        <f t="shared" ca="1" si="11"/>
        <v>0.560875512995896</v>
      </c>
      <c r="Y8" s="204">
        <f ca="1">INDIRECT("'Bureau " &amp; ROW()-1 &amp; "'!" &amp; ADDRESS(13,Synthèse!$G$40+10,4))</f>
        <v>430</v>
      </c>
      <c r="Z8" s="47">
        <f t="shared" ca="1" si="12"/>
        <v>0.58823529411764708</v>
      </c>
      <c r="AA8" s="60">
        <f ca="1">INDIRECT("'Bureau " &amp; ROW()-1 &amp; "'!" &amp; ADDRESS(14,Synthèse!$G$40+10,4))</f>
        <v>0</v>
      </c>
      <c r="AB8" s="29">
        <f t="shared" ca="1" si="13"/>
        <v>0</v>
      </c>
      <c r="AC8" s="61">
        <f ca="1">INDIRECT("'Bureau " &amp; ROW()-1 &amp; "'!" &amp; ADDRESS(15,Synthèse!$G$40+10,4))</f>
        <v>0</v>
      </c>
      <c r="AD8" s="50">
        <f t="shared" ca="1" si="14"/>
        <v>0</v>
      </c>
      <c r="AE8" s="66">
        <v>7</v>
      </c>
      <c r="AF8" s="70">
        <v>2.7359781121751026E-2</v>
      </c>
      <c r="AG8" s="71">
        <v>0.10259917920656635</v>
      </c>
      <c r="AH8" s="71">
        <v>0.20519835841313269</v>
      </c>
      <c r="AI8" s="71">
        <v>0.33105335157318744</v>
      </c>
      <c r="AJ8" s="71">
        <v>0.38850889192886456</v>
      </c>
      <c r="AK8" s="71">
        <v>0.42407660738714092</v>
      </c>
      <c r="AL8" s="71">
        <v>0.48426812585499318</v>
      </c>
      <c r="AM8" s="71">
        <v>0.54993160054719559</v>
      </c>
      <c r="AN8" s="71">
        <v>0.57455540355677159</v>
      </c>
      <c r="AO8" s="72">
        <v>0.60054719562243497</v>
      </c>
      <c r="AP8" s="57">
        <v>0</v>
      </c>
      <c r="AQ8" s="52">
        <v>0</v>
      </c>
    </row>
    <row r="9" spans="1:43" ht="15.75" customHeight="1" x14ac:dyDescent="0.3">
      <c r="A9" s="19">
        <v>8</v>
      </c>
      <c r="B9" s="20" t="str">
        <f>Synthèse!B10</f>
        <v>COSEC</v>
      </c>
      <c r="C9" s="201">
        <f t="shared" ca="1" si="2"/>
        <v>362</v>
      </c>
      <c r="D9" s="11">
        <f t="shared" ca="1" si="0"/>
        <v>0.5612403100775194</v>
      </c>
      <c r="E9" s="14">
        <f t="shared" ca="1" si="3"/>
        <v>0.5612403100775194</v>
      </c>
      <c r="F9" s="202">
        <f>Synthèse!C10</f>
        <v>645</v>
      </c>
      <c r="G9" s="195">
        <f ca="1">INDIRECT("'Bureau " &amp; ROW()-1 &amp; "'!" &amp; ADDRESS(4,Synthèse!$G$40+10,4))</f>
        <v>40</v>
      </c>
      <c r="H9" s="24">
        <f t="shared" ca="1" si="1"/>
        <v>6.2015503875968991E-2</v>
      </c>
      <c r="I9" s="196">
        <f ca="1">INDIRECT("'Bureau " &amp; ROW()-1 &amp; "'!" &amp; ADDRESS(5,Synthèse!$G$40+10,4))</f>
        <v>92</v>
      </c>
      <c r="J9" s="24">
        <f t="shared" ca="1" si="4"/>
        <v>0.14263565891472868</v>
      </c>
      <c r="K9" s="196">
        <f ca="1">INDIRECT("'Bureau " &amp; ROW()-1 &amp; "'!" &amp; ADDRESS(6,Synthèse!$G$40+10,4))</f>
        <v>146</v>
      </c>
      <c r="L9" s="25">
        <f t="shared" ca="1" si="5"/>
        <v>0.22635658914728682</v>
      </c>
      <c r="M9" s="203">
        <f ca="1">INDIRECT("'Bureau " &amp; ROW()-1 &amp; "'!" &amp; ADDRESS(7,Synthèse!$G$40+10,4))</f>
        <v>212</v>
      </c>
      <c r="N9" s="35">
        <f t="shared" ca="1" si="6"/>
        <v>0.32868217054263565</v>
      </c>
      <c r="O9" s="198">
        <f ca="1">INDIRECT("'Bureau " &amp; ROW()-1 &amp; "'!" &amp; ADDRESS(8,Synthèse!$G$40+10,4))</f>
        <v>267</v>
      </c>
      <c r="P9" s="25">
        <f t="shared" ca="1" si="7"/>
        <v>0.413953488372093</v>
      </c>
      <c r="Q9" s="203">
        <f ca="1">INDIRECT("'Bureau " &amp; ROW()-1 &amp; "'!" &amp; ADDRESS(9,Synthèse!$G$40+10,4))</f>
        <v>294</v>
      </c>
      <c r="R9" s="35">
        <f t="shared" ca="1" si="8"/>
        <v>0.45581395348837211</v>
      </c>
      <c r="S9" s="199">
        <f ca="1">INDIRECT("'Bureau " &amp; ROW()-1 &amp; "'!" &amp; ADDRESS(10,Synthèse!$G$40+10,4))</f>
        <v>317</v>
      </c>
      <c r="T9" s="11">
        <f t="shared" ca="1" si="9"/>
        <v>0.49147286821705427</v>
      </c>
      <c r="U9" s="203">
        <f ca="1">INDIRECT("'Bureau " &amp; ROW()-1 &amp; "'!" &amp; ADDRESS(11,Synthèse!$G$40+10,4))</f>
        <v>330</v>
      </c>
      <c r="V9" s="35">
        <f t="shared" ca="1" si="10"/>
        <v>0.51162790697674421</v>
      </c>
      <c r="W9" s="198">
        <f ca="1">INDIRECT("'Bureau " &amp; ROW()-1 &amp; "'!" &amp; ADDRESS(12,Synthèse!$G$40+10,4))</f>
        <v>356</v>
      </c>
      <c r="X9" s="25">
        <f t="shared" ca="1" si="11"/>
        <v>0.55193798449612408</v>
      </c>
      <c r="Y9" s="204">
        <f ca="1">INDIRECT("'Bureau " &amp; ROW()-1 &amp; "'!" &amp; ADDRESS(13,Synthèse!$G$40+10,4))</f>
        <v>362</v>
      </c>
      <c r="Z9" s="47">
        <f t="shared" ca="1" si="12"/>
        <v>0.5612403100775194</v>
      </c>
      <c r="AA9" s="60">
        <f ca="1">INDIRECT("'Bureau " &amp; ROW()-1 &amp; "'!" &amp; ADDRESS(14,Synthèse!$G$40+10,4))</f>
        <v>0</v>
      </c>
      <c r="AB9" s="29">
        <f t="shared" ca="1" si="13"/>
        <v>0</v>
      </c>
      <c r="AC9" s="61">
        <f ca="1">INDIRECT("'Bureau " &amp; ROW()-1 &amp; "'!" &amp; ADDRESS(15,Synthèse!$G$40+10,4))</f>
        <v>0</v>
      </c>
      <c r="AD9" s="50">
        <f t="shared" ca="1" si="14"/>
        <v>0</v>
      </c>
      <c r="AE9" s="66">
        <v>8</v>
      </c>
      <c r="AF9" s="70">
        <v>5.5727554179566562E-2</v>
      </c>
      <c r="AG9" s="71">
        <v>0.11145510835913312</v>
      </c>
      <c r="AH9" s="71">
        <v>0.23065015479876161</v>
      </c>
      <c r="AI9" s="71">
        <v>0.32972136222910214</v>
      </c>
      <c r="AJ9" s="71">
        <v>0.4024767801857585</v>
      </c>
      <c r="AK9" s="71">
        <v>0.46439628482972134</v>
      </c>
      <c r="AL9" s="71">
        <v>0.50309597523219818</v>
      </c>
      <c r="AM9" s="71">
        <v>0.54179566563467496</v>
      </c>
      <c r="AN9" s="71">
        <v>0.55882352941176472</v>
      </c>
      <c r="AO9" s="72">
        <v>0.58668730650154799</v>
      </c>
      <c r="AP9" s="57">
        <v>0</v>
      </c>
      <c r="AQ9" s="52">
        <v>0</v>
      </c>
    </row>
    <row r="10" spans="1:43" ht="15.75" customHeight="1" x14ac:dyDescent="0.3">
      <c r="A10" s="19">
        <v>9</v>
      </c>
      <c r="B10" s="20" t="str">
        <f>Synthèse!B11</f>
        <v>CMM</v>
      </c>
      <c r="C10" s="201">
        <f t="shared" ca="1" si="2"/>
        <v>331</v>
      </c>
      <c r="D10" s="11">
        <f t="shared" ca="1" si="0"/>
        <v>0.46619718309859154</v>
      </c>
      <c r="E10" s="14">
        <f t="shared" ca="1" si="3"/>
        <v>0.46619718309859154</v>
      </c>
      <c r="F10" s="202">
        <f>Synthèse!C11</f>
        <v>710</v>
      </c>
      <c r="G10" s="195">
        <f ca="1">INDIRECT("'Bureau " &amp; ROW()-1 &amp; "'!" &amp; ADDRESS(4,Synthèse!$G$40+10,4))</f>
        <v>35</v>
      </c>
      <c r="H10" s="24">
        <f t="shared" ca="1" si="1"/>
        <v>4.9295774647887321E-2</v>
      </c>
      <c r="I10" s="196">
        <f ca="1">INDIRECT("'Bureau " &amp; ROW()-1 &amp; "'!" &amp; ADDRESS(5,Synthèse!$G$40+10,4))</f>
        <v>70</v>
      </c>
      <c r="J10" s="24">
        <f t="shared" ca="1" si="4"/>
        <v>9.8591549295774641E-2</v>
      </c>
      <c r="K10" s="196">
        <f ca="1">INDIRECT("'Bureau " &amp; ROW()-1 &amp; "'!" &amp; ADDRESS(6,Synthèse!$G$40+10,4))</f>
        <v>127</v>
      </c>
      <c r="L10" s="25">
        <f t="shared" ca="1" si="5"/>
        <v>0.17887323943661973</v>
      </c>
      <c r="M10" s="203">
        <f ca="1">INDIRECT("'Bureau " &amp; ROW()-1 &amp; "'!" &amp; ADDRESS(7,Synthèse!$G$40+10,4))</f>
        <v>180</v>
      </c>
      <c r="N10" s="35">
        <f t="shared" ca="1" si="6"/>
        <v>0.25352112676056338</v>
      </c>
      <c r="O10" s="198">
        <f ca="1">INDIRECT("'Bureau " &amp; ROW()-1 &amp; "'!" &amp; ADDRESS(8,Synthèse!$G$40+10,4))</f>
        <v>213</v>
      </c>
      <c r="P10" s="25">
        <f t="shared" ca="1" si="7"/>
        <v>0.3</v>
      </c>
      <c r="Q10" s="203">
        <f ca="1">INDIRECT("'Bureau " &amp; ROW()-1 &amp; "'!" &amp; ADDRESS(9,Synthèse!$G$40+10,4))</f>
        <v>240</v>
      </c>
      <c r="R10" s="35">
        <f t="shared" ca="1" si="8"/>
        <v>0.3380281690140845</v>
      </c>
      <c r="S10" s="199">
        <f ca="1">INDIRECT("'Bureau " &amp; ROW()-1 &amp; "'!" &amp; ADDRESS(10,Synthèse!$G$40+10,4))</f>
        <v>264</v>
      </c>
      <c r="T10" s="11">
        <f t="shared" ca="1" si="9"/>
        <v>0.37183098591549296</v>
      </c>
      <c r="U10" s="203">
        <f ca="1">INDIRECT("'Bureau " &amp; ROW()-1 &amp; "'!" &amp; ADDRESS(11,Synthèse!$G$40+10,4))</f>
        <v>294</v>
      </c>
      <c r="V10" s="35">
        <f t="shared" ca="1" si="10"/>
        <v>0.41408450704225352</v>
      </c>
      <c r="W10" s="198">
        <f ca="1">INDIRECT("'Bureau " &amp; ROW()-1 &amp; "'!" &amp; ADDRESS(12,Synthèse!$G$40+10,4))</f>
        <v>320</v>
      </c>
      <c r="X10" s="25">
        <f t="shared" ca="1" si="11"/>
        <v>0.45070422535211269</v>
      </c>
      <c r="Y10" s="204">
        <f ca="1">INDIRECT("'Bureau " &amp; ROW()-1 &amp; "'!" &amp; ADDRESS(13,Synthèse!$G$40+10,4))</f>
        <v>331</v>
      </c>
      <c r="Z10" s="47">
        <f t="shared" ca="1" si="12"/>
        <v>0.46619718309859154</v>
      </c>
      <c r="AA10" s="60">
        <f ca="1">INDIRECT("'Bureau " &amp; ROW()-1 &amp; "'!" &amp; ADDRESS(14,Synthèse!$G$40+10,4))</f>
        <v>0</v>
      </c>
      <c r="AB10" s="29">
        <f t="shared" ca="1" si="13"/>
        <v>0</v>
      </c>
      <c r="AC10" s="61">
        <f ca="1">INDIRECT("'Bureau " &amp; ROW()-1 &amp; "'!" &amp; ADDRESS(15,Synthèse!$G$40+10,4))</f>
        <v>0</v>
      </c>
      <c r="AD10" s="50">
        <f t="shared" ca="1" si="14"/>
        <v>0</v>
      </c>
      <c r="AE10" s="66">
        <v>9</v>
      </c>
      <c r="AF10" s="70">
        <v>3.1029619181946404E-2</v>
      </c>
      <c r="AG10" s="71">
        <v>8.3215796897038077E-2</v>
      </c>
      <c r="AH10" s="71">
        <v>0.14809590973201692</v>
      </c>
      <c r="AI10" s="71">
        <v>0.23272214386459802</v>
      </c>
      <c r="AJ10" s="71">
        <v>0.27080394922425954</v>
      </c>
      <c r="AK10" s="71">
        <v>0.32440056417489421</v>
      </c>
      <c r="AL10" s="71">
        <v>0.38081805359661497</v>
      </c>
      <c r="AM10" s="71">
        <v>0.4132581100141044</v>
      </c>
      <c r="AN10" s="71">
        <v>0.4400564174894217</v>
      </c>
      <c r="AO10" s="72">
        <v>0.4696755994358251</v>
      </c>
      <c r="AP10" s="57">
        <v>0</v>
      </c>
      <c r="AQ10" s="52">
        <v>0</v>
      </c>
    </row>
    <row r="11" spans="1:43" ht="15.75" customHeight="1" x14ac:dyDescent="0.3">
      <c r="A11" s="19">
        <v>10</v>
      </c>
      <c r="B11" s="20" t="str">
        <f>Synthèse!B12</f>
        <v>CMM</v>
      </c>
      <c r="C11" s="201">
        <f t="shared" ca="1" si="2"/>
        <v>357</v>
      </c>
      <c r="D11" s="11">
        <f t="shared" ca="1" si="0"/>
        <v>0.58620689655172409</v>
      </c>
      <c r="E11" s="14">
        <f t="shared" ca="1" si="3"/>
        <v>0.58620689655172409</v>
      </c>
      <c r="F11" s="202">
        <f>Synthèse!C12</f>
        <v>609</v>
      </c>
      <c r="G11" s="195">
        <f ca="1">INDIRECT("'Bureau " &amp; ROW()-1 &amp; "'!" &amp; ADDRESS(4,Synthèse!$G$40+10,4))</f>
        <v>30</v>
      </c>
      <c r="H11" s="24">
        <f t="shared" ca="1" si="1"/>
        <v>4.9261083743842367E-2</v>
      </c>
      <c r="I11" s="196">
        <f ca="1">INDIRECT("'Bureau " &amp; ROW()-1 &amp; "'!" &amp; ADDRESS(5,Synthèse!$G$40+10,4))</f>
        <v>84</v>
      </c>
      <c r="J11" s="24">
        <f t="shared" ca="1" si="4"/>
        <v>0.13793103448275862</v>
      </c>
      <c r="K11" s="196">
        <f ca="1">INDIRECT("'Bureau " &amp; ROW()-1 &amp; "'!" &amp; ADDRESS(6,Synthèse!$G$40+10,4))</f>
        <v>150</v>
      </c>
      <c r="L11" s="25">
        <f t="shared" ca="1" si="5"/>
        <v>0.24630541871921183</v>
      </c>
      <c r="M11" s="203">
        <f ca="1">INDIRECT("'Bureau " &amp; ROW()-1 &amp; "'!" &amp; ADDRESS(7,Synthèse!$G$40+10,4))</f>
        <v>220</v>
      </c>
      <c r="N11" s="35">
        <f t="shared" ca="1" si="6"/>
        <v>0.36124794745484401</v>
      </c>
      <c r="O11" s="198">
        <f ca="1">INDIRECT("'Bureau " &amp; ROW()-1 &amp; "'!" &amp; ADDRESS(8,Synthèse!$G$40+10,4))</f>
        <v>270</v>
      </c>
      <c r="P11" s="25">
        <f t="shared" ca="1" si="7"/>
        <v>0.44334975369458129</v>
      </c>
      <c r="Q11" s="203">
        <f ca="1">INDIRECT("'Bureau " &amp; ROW()-1 &amp; "'!" &amp; ADDRESS(9,Synthèse!$G$40+10,4))</f>
        <v>282</v>
      </c>
      <c r="R11" s="35">
        <f t="shared" ca="1" si="8"/>
        <v>0.46305418719211822</v>
      </c>
      <c r="S11" s="199">
        <f ca="1">INDIRECT("'Bureau " &amp; ROW()-1 &amp; "'!" &amp; ADDRESS(10,Synthèse!$G$40+10,4))</f>
        <v>305</v>
      </c>
      <c r="T11" s="11">
        <f t="shared" ca="1" si="9"/>
        <v>0.50082101806239743</v>
      </c>
      <c r="U11" s="203">
        <f ca="1">INDIRECT("'Bureau " &amp; ROW()-1 &amp; "'!" &amp; ADDRESS(11,Synthèse!$G$40+10,4))</f>
        <v>325</v>
      </c>
      <c r="V11" s="35">
        <f t="shared" ca="1" si="10"/>
        <v>0.5336617405582923</v>
      </c>
      <c r="W11" s="198">
        <f ca="1">INDIRECT("'Bureau " &amp; ROW()-1 &amp; "'!" &amp; ADDRESS(12,Synthèse!$G$40+10,4))</f>
        <v>345</v>
      </c>
      <c r="X11" s="25">
        <f t="shared" ca="1" si="11"/>
        <v>0.56650246305418717</v>
      </c>
      <c r="Y11" s="204">
        <f ca="1">INDIRECT("'Bureau " &amp; ROW()-1 &amp; "'!" &amp; ADDRESS(13,Synthèse!$G$40+10,4))</f>
        <v>357</v>
      </c>
      <c r="Z11" s="47">
        <f t="shared" ca="1" si="12"/>
        <v>0.58620689655172409</v>
      </c>
      <c r="AA11" s="60">
        <f ca="1">INDIRECT("'Bureau " &amp; ROW()-1 &amp; "'!" &amp; ADDRESS(14,Synthèse!$G$40+10,4))</f>
        <v>0</v>
      </c>
      <c r="AB11" s="29">
        <f t="shared" ca="1" si="13"/>
        <v>0</v>
      </c>
      <c r="AC11" s="61">
        <f ca="1">INDIRECT("'Bureau " &amp; ROW()-1 &amp; "'!" &amp; ADDRESS(15,Synthèse!$G$40+10,4))</f>
        <v>0</v>
      </c>
      <c r="AD11" s="50">
        <f t="shared" ca="1" si="14"/>
        <v>0</v>
      </c>
      <c r="AE11" s="66">
        <v>10</v>
      </c>
      <c r="AF11" s="70">
        <v>4.4334975369458129E-2</v>
      </c>
      <c r="AG11" s="71">
        <v>0.11494252873563218</v>
      </c>
      <c r="AH11" s="71">
        <v>0.22988505747126436</v>
      </c>
      <c r="AI11" s="71">
        <v>0.34482758620689657</v>
      </c>
      <c r="AJ11" s="71">
        <v>0.39408866995073893</v>
      </c>
      <c r="AK11" s="71">
        <v>0.44663382594417078</v>
      </c>
      <c r="AL11" s="71">
        <v>0.49261083743842365</v>
      </c>
      <c r="AM11" s="71">
        <v>0.54187192118226601</v>
      </c>
      <c r="AN11" s="71">
        <v>0.56486042692939242</v>
      </c>
      <c r="AO11" s="72">
        <v>0.58620689655172409</v>
      </c>
      <c r="AP11" s="57">
        <v>0</v>
      </c>
      <c r="AQ11" s="52">
        <v>0</v>
      </c>
    </row>
    <row r="12" spans="1:43" ht="15.75" customHeight="1" x14ac:dyDescent="0.3">
      <c r="A12" s="19">
        <v>11</v>
      </c>
      <c r="B12" s="20" t="str">
        <f>Synthèse!B13</f>
        <v>CMM</v>
      </c>
      <c r="C12" s="201">
        <f t="shared" ca="1" si="2"/>
        <v>405</v>
      </c>
      <c r="D12" s="11">
        <f t="shared" ca="1" si="0"/>
        <v>0.58610709117221416</v>
      </c>
      <c r="E12" s="14">
        <f t="shared" ca="1" si="3"/>
        <v>0.58610709117221416</v>
      </c>
      <c r="F12" s="202">
        <f>Synthèse!C13</f>
        <v>691</v>
      </c>
      <c r="G12" s="195">
        <f ca="1">INDIRECT("'Bureau " &amp; ROW()-1 &amp; "'!" &amp; ADDRESS(4,Synthèse!$G$40+10,4))</f>
        <v>43</v>
      </c>
      <c r="H12" s="24">
        <f t="shared" ca="1" si="1"/>
        <v>6.2228654124457307E-2</v>
      </c>
      <c r="I12" s="196">
        <f ca="1">INDIRECT("'Bureau " &amp; ROW()-1 &amp; "'!" &amp; ADDRESS(5,Synthèse!$G$40+10,4))</f>
        <v>93</v>
      </c>
      <c r="J12" s="24">
        <f t="shared" ca="1" si="4"/>
        <v>0.1345875542691751</v>
      </c>
      <c r="K12" s="196">
        <f ca="1">INDIRECT("'Bureau " &amp; ROW()-1 &amp; "'!" &amp; ADDRESS(6,Synthèse!$G$40+10,4))</f>
        <v>156</v>
      </c>
      <c r="L12" s="25">
        <f t="shared" ca="1" si="5"/>
        <v>0.22575976845151954</v>
      </c>
      <c r="M12" s="203">
        <f ca="1">INDIRECT("'Bureau " &amp; ROW()-1 &amp; "'!" &amp; ADDRESS(7,Synthèse!$G$40+10,4))</f>
        <v>226</v>
      </c>
      <c r="N12" s="35">
        <f t="shared" ca="1" si="6"/>
        <v>0.32706222865412443</v>
      </c>
      <c r="O12" s="198">
        <f ca="1">INDIRECT("'Bureau " &amp; ROW()-1 &amp; "'!" &amp; ADDRESS(8,Synthèse!$G$40+10,4))</f>
        <v>260</v>
      </c>
      <c r="P12" s="25">
        <f t="shared" ca="1" si="7"/>
        <v>0.37626628075253254</v>
      </c>
      <c r="Q12" s="203">
        <f ca="1">INDIRECT("'Bureau " &amp; ROW()-1 &amp; "'!" &amp; ADDRESS(9,Synthèse!$G$40+10,4))</f>
        <v>298</v>
      </c>
      <c r="R12" s="35">
        <f t="shared" ca="1" si="8"/>
        <v>0.43125904486251809</v>
      </c>
      <c r="S12" s="199">
        <f ca="1">INDIRECT("'Bureau " &amp; ROW()-1 &amp; "'!" &amp; ADDRESS(10,Synthèse!$G$40+10,4))</f>
        <v>332</v>
      </c>
      <c r="T12" s="11">
        <f t="shared" ca="1" si="9"/>
        <v>0.48046309696092621</v>
      </c>
      <c r="U12" s="203">
        <f ca="1">INDIRECT("'Bureau " &amp; ROW()-1 &amp; "'!" &amp; ADDRESS(11,Synthèse!$G$40+10,4))</f>
        <v>363</v>
      </c>
      <c r="V12" s="35">
        <f t="shared" ca="1" si="10"/>
        <v>0.52532561505065123</v>
      </c>
      <c r="W12" s="198">
        <f ca="1">INDIRECT("'Bureau " &amp; ROW()-1 &amp; "'!" &amp; ADDRESS(12,Synthèse!$G$40+10,4))</f>
        <v>387</v>
      </c>
      <c r="X12" s="25">
        <f t="shared" ca="1" si="11"/>
        <v>0.56005788712011573</v>
      </c>
      <c r="Y12" s="204">
        <f ca="1">INDIRECT("'Bureau " &amp; ROW()-1 &amp; "'!" &amp; ADDRESS(13,Synthèse!$G$40+10,4))</f>
        <v>405</v>
      </c>
      <c r="Z12" s="47">
        <f t="shared" ca="1" si="12"/>
        <v>0.58610709117221416</v>
      </c>
      <c r="AA12" s="60">
        <f ca="1">INDIRECT("'Bureau " &amp; ROW()-1 &amp; "'!" &amp; ADDRESS(14,Synthèse!$G$40+10,4))</f>
        <v>0</v>
      </c>
      <c r="AB12" s="29">
        <f t="shared" ca="1" si="13"/>
        <v>0</v>
      </c>
      <c r="AC12" s="61">
        <f ca="1">INDIRECT("'Bureau " &amp; ROW()-1 &amp; "'!" &amp; ADDRESS(15,Synthèse!$G$40+10,4))</f>
        <v>0</v>
      </c>
      <c r="AD12" s="50">
        <f t="shared" ca="1" si="14"/>
        <v>0</v>
      </c>
      <c r="AE12" s="66">
        <v>11</v>
      </c>
      <c r="AF12" s="70">
        <v>6.8017366136034735E-2</v>
      </c>
      <c r="AG12" s="71">
        <v>0.13892908827785819</v>
      </c>
      <c r="AH12" s="71">
        <v>0.22865412445730826</v>
      </c>
      <c r="AI12" s="71">
        <v>0.31114327062228653</v>
      </c>
      <c r="AJ12" s="71">
        <v>0.38205499276410998</v>
      </c>
      <c r="AK12" s="71">
        <v>0.43270622286541244</v>
      </c>
      <c r="AL12" s="71">
        <v>0.48046309696092621</v>
      </c>
      <c r="AM12" s="71">
        <v>0.55282199710564395</v>
      </c>
      <c r="AN12" s="71">
        <v>0.57597684515195369</v>
      </c>
      <c r="AO12" s="72">
        <v>0.60202604920405212</v>
      </c>
      <c r="AP12" s="57">
        <v>0</v>
      </c>
      <c r="AQ12" s="52">
        <v>0</v>
      </c>
    </row>
    <row r="13" spans="1:43" ht="15.75" customHeight="1" thickBot="1" x14ac:dyDescent="0.35">
      <c r="A13" s="21">
        <v>12</v>
      </c>
      <c r="B13" s="20" t="str">
        <f>Synthèse!B14</f>
        <v>Base nautique</v>
      </c>
      <c r="C13" s="205">
        <f t="shared" ca="1" si="2"/>
        <v>300</v>
      </c>
      <c r="D13" s="12">
        <f t="shared" ca="1" si="0"/>
        <v>0.44052863436123346</v>
      </c>
      <c r="E13" s="33">
        <f t="shared" ca="1" si="3"/>
        <v>0.44052863436123346</v>
      </c>
      <c r="F13" s="206">
        <f>Synthèse!C14</f>
        <v>681</v>
      </c>
      <c r="G13" s="195">
        <f ca="1">INDIRECT("'Bureau " &amp; ROW()-1 &amp; "'!" &amp; ADDRESS(4,Synthèse!$G$40+10,4))</f>
        <v>10</v>
      </c>
      <c r="H13" s="26">
        <f t="shared" ca="1" si="1"/>
        <v>1.4684287812041116E-2</v>
      </c>
      <c r="I13" s="196">
        <f ca="1">INDIRECT("'Bureau " &amp; ROW()-1 &amp; "'!" &amp; ADDRESS(5,Synthèse!$G$40+10,4))</f>
        <v>45</v>
      </c>
      <c r="J13" s="26">
        <f t="shared" ca="1" si="4"/>
        <v>6.6079295154185022E-2</v>
      </c>
      <c r="K13" s="196">
        <f ca="1">INDIRECT("'Bureau " &amp; ROW()-1 &amp; "'!" &amp; ADDRESS(6,Synthèse!$G$40+10,4))</f>
        <v>98</v>
      </c>
      <c r="L13" s="27">
        <f t="shared" ca="1" si="5"/>
        <v>0.14390602055800295</v>
      </c>
      <c r="M13" s="207">
        <f ca="1">INDIRECT("'Bureau " &amp; ROW()-1 &amp; "'!" &amp; ADDRESS(7,Synthèse!$G$40+10,4))</f>
        <v>158</v>
      </c>
      <c r="N13" s="36">
        <f t="shared" ca="1" si="6"/>
        <v>0.23201174743024963</v>
      </c>
      <c r="O13" s="198">
        <f ca="1">INDIRECT("'Bureau " &amp; ROW()-1 &amp; "'!" &amp; ADDRESS(8,Synthèse!$G$40+10,4))</f>
        <v>194</v>
      </c>
      <c r="P13" s="27">
        <f t="shared" ca="1" si="7"/>
        <v>0.28487518355359764</v>
      </c>
      <c r="Q13" s="208">
        <f ca="1">INDIRECT("'Bureau " &amp; ROW()-1 &amp; "'!" &amp; ADDRESS(9,Synthèse!$G$40+10,4))</f>
        <v>210</v>
      </c>
      <c r="R13" s="37">
        <f t="shared" ca="1" si="8"/>
        <v>0.30837004405286345</v>
      </c>
      <c r="S13" s="199">
        <f ca="1">INDIRECT("'Bureau " &amp; ROW()-1 &amp; "'!" &amp; ADDRESS(10,Synthèse!$G$40+10,4))</f>
        <v>239</v>
      </c>
      <c r="T13" s="12">
        <f t="shared" ca="1" si="9"/>
        <v>0.35095447870778268</v>
      </c>
      <c r="U13" s="207">
        <f ca="1">INDIRECT("'Bureau " &amp; ROW()-1 &amp; "'!" &amp; ADDRESS(11,Synthèse!$G$40+10,4))</f>
        <v>260</v>
      </c>
      <c r="V13" s="36">
        <f t="shared" ca="1" si="10"/>
        <v>0.38179148311306904</v>
      </c>
      <c r="W13" s="198">
        <f ca="1">INDIRECT("'Bureau " &amp; ROW()-1 &amp; "'!" &amp; ADDRESS(12,Synthèse!$G$40+10,4))</f>
        <v>287</v>
      </c>
      <c r="X13" s="27">
        <f t="shared" ca="1" si="11"/>
        <v>0.42143906020558003</v>
      </c>
      <c r="Y13" s="209">
        <f ca="1">INDIRECT("'Bureau " &amp; ROW()-1 &amp; "'!" &amp; ADDRESS(13,Synthèse!$G$40+10,4))</f>
        <v>300</v>
      </c>
      <c r="Z13" s="36">
        <f t="shared" ca="1" si="12"/>
        <v>0.44052863436123346</v>
      </c>
      <c r="AA13" s="60">
        <f ca="1">INDIRECT("'Bureau " &amp; ROW()-1 &amp; "'!" &amp; ADDRESS(14,Synthèse!$G$40+10,4))</f>
        <v>0</v>
      </c>
      <c r="AB13" s="30">
        <f t="shared" ca="1" si="13"/>
        <v>0</v>
      </c>
      <c r="AC13" s="61">
        <f ca="1">INDIRECT("'Bureau " &amp; ROW()-1 &amp; "'!" &amp; ADDRESS(15,Synthèse!$G$40+10,4))</f>
        <v>0</v>
      </c>
      <c r="AD13" s="51">
        <f t="shared" ca="1" si="14"/>
        <v>0</v>
      </c>
      <c r="AE13" s="73">
        <v>12</v>
      </c>
      <c r="AF13" s="74">
        <v>3.5294117647058823E-2</v>
      </c>
      <c r="AG13" s="75">
        <v>7.2058823529411759E-2</v>
      </c>
      <c r="AH13" s="75">
        <v>0.14117647058823529</v>
      </c>
      <c r="AI13" s="75">
        <v>0.21029411764705883</v>
      </c>
      <c r="AJ13" s="75">
        <v>0.2676470588235294</v>
      </c>
      <c r="AK13" s="75">
        <v>0.31911764705882351</v>
      </c>
      <c r="AL13" s="75">
        <v>0.36911764705882355</v>
      </c>
      <c r="AM13" s="75">
        <v>0.42205882352941176</v>
      </c>
      <c r="AN13" s="75">
        <v>0.47205882352941175</v>
      </c>
      <c r="AO13" s="76">
        <v>0.47941176470588237</v>
      </c>
      <c r="AP13" s="57">
        <v>0</v>
      </c>
      <c r="AQ13" s="52">
        <v>0</v>
      </c>
    </row>
    <row r="14" spans="1:43" ht="15.75" customHeight="1" thickBot="1" x14ac:dyDescent="0.4">
      <c r="A14" s="709" t="s">
        <v>20</v>
      </c>
      <c r="B14" s="710"/>
      <c r="C14" s="15">
        <f ca="1">SUM(C2:C13)</f>
        <v>4651</v>
      </c>
      <c r="D14" s="16">
        <f t="shared" ca="1" si="0"/>
        <v>0.56962645437844461</v>
      </c>
      <c r="E14" s="32">
        <f t="shared" ca="1" si="3"/>
        <v>0.56962645437844461</v>
      </c>
      <c r="F14" s="188">
        <f>SUM(F2:F13)</f>
        <v>8165</v>
      </c>
      <c r="G14" s="38">
        <f ca="1">SUM(G2:G13)</f>
        <v>458</v>
      </c>
      <c r="H14" s="39">
        <f ca="1">G14/$F14</f>
        <v>5.6093080220453152E-2</v>
      </c>
      <c r="I14" s="40">
        <f ca="1">SUM(I2:I13)</f>
        <v>1056</v>
      </c>
      <c r="J14" s="39">
        <f ca="1">I14/$F14</f>
        <v>0.12933251684017147</v>
      </c>
      <c r="K14" s="40">
        <f ca="1">SUM(K2:K13)</f>
        <v>1849</v>
      </c>
      <c r="L14" s="41">
        <f ca="1">K14/$F14</f>
        <v>0.22645437844458052</v>
      </c>
      <c r="M14" s="42">
        <f ca="1">SUM(M2:M13)</f>
        <v>2600</v>
      </c>
      <c r="N14" s="41">
        <f ca="1">M14/$F14</f>
        <v>0.31843233312921004</v>
      </c>
      <c r="O14" s="42">
        <f ca="1">SUM(O2:O13)</f>
        <v>3143</v>
      </c>
      <c r="P14" s="41">
        <f ca="1">O14/$F14</f>
        <v>0.38493570116350273</v>
      </c>
      <c r="Q14" s="42">
        <f ca="1">SUM(Q2:Q13)</f>
        <v>3444</v>
      </c>
      <c r="R14" s="41">
        <f ca="1">Q14/$F14</f>
        <v>0.42180036742192284</v>
      </c>
      <c r="S14" s="42">
        <f ca="1">SUM(S2:S13)</f>
        <v>3789</v>
      </c>
      <c r="T14" s="41">
        <f ca="1">S14/$F14</f>
        <v>0.4640538885486834</v>
      </c>
      <c r="U14" s="42">
        <f ca="1">SUM(U2:U13)</f>
        <v>4120</v>
      </c>
      <c r="V14" s="41">
        <f ca="1">U14/$F14</f>
        <v>0.5045927740355175</v>
      </c>
      <c r="W14" s="42">
        <f ca="1">SUM(W2:W13)</f>
        <v>4445</v>
      </c>
      <c r="X14" s="43">
        <f ca="1">W14/$F14</f>
        <v>0.54439681567666875</v>
      </c>
      <c r="Y14" s="48">
        <f ca="1">SUM(Y2:Y13)</f>
        <v>4651</v>
      </c>
      <c r="Z14" s="44">
        <f ca="1">Y14/$F14</f>
        <v>0.56962645437844461</v>
      </c>
      <c r="AA14" s="6">
        <f ca="1">SUM(AA2:AA13)</f>
        <v>0</v>
      </c>
      <c r="AB14" s="7">
        <f ca="1">AA14/$F14</f>
        <v>0</v>
      </c>
      <c r="AC14" s="8">
        <f ca="1">SUM(AC2:AC13)</f>
        <v>0</v>
      </c>
      <c r="AD14" s="7">
        <f ca="1">AC14/$F14</f>
        <v>0</v>
      </c>
      <c r="AE14" s="77" t="s">
        <v>51</v>
      </c>
      <c r="AF14" s="78">
        <v>4.8272482234746387E-2</v>
      </c>
      <c r="AG14" s="79">
        <v>0.11455525606469003</v>
      </c>
      <c r="AH14" s="79">
        <v>0.20779220779220781</v>
      </c>
      <c r="AI14" s="79">
        <v>0.30531732418524871</v>
      </c>
      <c r="AJ14" s="79">
        <v>0.36535162950257288</v>
      </c>
      <c r="AK14" s="79">
        <v>0.4164420485175202</v>
      </c>
      <c r="AL14" s="79">
        <v>0.47096299926488605</v>
      </c>
      <c r="AM14" s="79">
        <v>0.5204606714040676</v>
      </c>
      <c r="AN14" s="79">
        <v>0.54949767213918155</v>
      </c>
      <c r="AO14" s="80">
        <v>0.57363391325655477</v>
      </c>
      <c r="AP14" s="58">
        <v>0</v>
      </c>
      <c r="AQ14" s="59">
        <v>0</v>
      </c>
    </row>
    <row r="15" spans="1:43" ht="16" thickBot="1" x14ac:dyDescent="0.4">
      <c r="A15" s="212" t="str">
        <f>Synthèse!$A$17</f>
        <v>Date</v>
      </c>
      <c r="B15" s="652">
        <f>Synthèse!$B$17</f>
        <v>46103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653"/>
      <c r="AB15" s="653"/>
      <c r="AC15" s="653"/>
      <c r="AD15" s="653"/>
      <c r="AE15" s="716" t="s">
        <v>52</v>
      </c>
      <c r="AF15" s="717"/>
      <c r="AG15" s="717"/>
      <c r="AH15" s="717"/>
      <c r="AI15" s="717"/>
      <c r="AJ15" s="717"/>
      <c r="AK15" s="717"/>
      <c r="AL15" s="717"/>
      <c r="AM15" s="717"/>
      <c r="AN15" s="717"/>
      <c r="AO15" s="717"/>
      <c r="AP15" s="717"/>
      <c r="AQ15" s="718"/>
    </row>
    <row r="16" spans="1:43" ht="15" customHeight="1" x14ac:dyDescent="0.3">
      <c r="A16" s="213" t="str">
        <f>Synthèse!$A$18</f>
        <v>Election</v>
      </c>
      <c r="B16" s="214" t="str">
        <f>Synthèse!$B$18</f>
        <v>Municipale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653"/>
      <c r="AB16" s="653"/>
      <c r="AC16" s="653"/>
      <c r="AD16" s="653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ht="17.25" customHeight="1" x14ac:dyDescent="0.3">
      <c r="A17" s="430" t="str">
        <f>Synthèse!$A$19</f>
        <v>Tour</v>
      </c>
      <c r="B17" s="654">
        <f>Synthèse!$B$19</f>
        <v>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653"/>
      <c r="AC17" s="653"/>
      <c r="AD17" s="653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18.75" customHeight="1" thickBot="1" x14ac:dyDescent="0.35">
      <c r="A18" s="429" t="str">
        <f>Synthèse!$A$20</f>
        <v>Ville</v>
      </c>
      <c r="B18" s="655" t="str">
        <f>Synthèse!$B$20</f>
        <v>Cogolin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653"/>
      <c r="AB18" s="653"/>
      <c r="AC18" s="653"/>
      <c r="AD18" s="653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653"/>
      <c r="AB19" s="653"/>
      <c r="AC19" s="653"/>
      <c r="AD19" s="653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653"/>
      <c r="AB20" s="653"/>
      <c r="AC20" s="653"/>
      <c r="AD20" s="653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20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653"/>
      <c r="AB21" s="653"/>
      <c r="AC21" s="653"/>
      <c r="AD21" s="653"/>
      <c r="AE21" s="1"/>
      <c r="AF21" s="1"/>
      <c r="AG21" s="1"/>
      <c r="AH21" s="724"/>
      <c r="AI21" s="724"/>
      <c r="AJ21" s="723"/>
      <c r="AK21" s="723"/>
      <c r="AL21" s="645"/>
      <c r="AO21" s="1"/>
      <c r="AP21" s="1"/>
      <c r="AQ21" s="1"/>
    </row>
    <row r="22" spans="1:43" ht="1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653"/>
      <c r="AB22" s="653"/>
      <c r="AC22" s="653"/>
      <c r="AD22" s="653"/>
      <c r="AE22" s="1"/>
      <c r="AF22" s="1"/>
      <c r="AG22" s="1"/>
      <c r="AH22" s="1"/>
      <c r="AI22" s="1"/>
      <c r="AJ22" s="1"/>
      <c r="AK22" s="1"/>
      <c r="AL22" s="1"/>
      <c r="AO22" s="1"/>
      <c r="AP22" s="1"/>
      <c r="AQ22" s="1"/>
    </row>
    <row r="23" spans="1:43" ht="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653"/>
      <c r="AB23" s="653"/>
      <c r="AC23" s="653"/>
      <c r="AD23" s="653"/>
      <c r="AE23" s="1"/>
      <c r="AF23" s="1"/>
      <c r="AG23" s="1"/>
      <c r="AH23" s="1"/>
      <c r="AI23" s="1"/>
      <c r="AJ23" s="1"/>
      <c r="AK23" s="1"/>
      <c r="AL23" s="1"/>
      <c r="AO23" s="1"/>
      <c r="AP23" s="1"/>
      <c r="AQ23" s="1"/>
    </row>
    <row r="24" spans="1:43" ht="13" x14ac:dyDescent="0.3">
      <c r="A24" s="1"/>
      <c r="B24" s="1"/>
      <c r="C24" s="17"/>
      <c r="D24" s="1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653"/>
      <c r="AB24" s="653"/>
      <c r="AC24" s="653"/>
      <c r="AD24" s="653"/>
      <c r="AE24" s="1"/>
      <c r="AF24" s="1"/>
      <c r="AG24" s="1"/>
      <c r="AH24" s="1"/>
      <c r="AI24" s="1"/>
      <c r="AJ24" s="1"/>
      <c r="AK24" s="1"/>
      <c r="AL24" s="1"/>
      <c r="AO24" s="1"/>
      <c r="AP24" s="1"/>
      <c r="AQ24" s="1"/>
    </row>
    <row r="25" spans="1:43" ht="13" x14ac:dyDescent="0.3">
      <c r="A25" s="1"/>
      <c r="B25" s="1"/>
      <c r="C25" s="17"/>
      <c r="D25" s="1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653"/>
      <c r="AB25" s="653"/>
      <c r="AC25" s="653"/>
      <c r="AD25" s="653"/>
      <c r="AE25" s="1"/>
      <c r="AF25" s="1"/>
      <c r="AG25" s="1"/>
      <c r="AH25" s="1"/>
      <c r="AI25" s="1"/>
      <c r="AJ25" s="1"/>
      <c r="AK25" s="1"/>
      <c r="AL25" s="1"/>
      <c r="AO25" s="1"/>
      <c r="AP25" s="1"/>
      <c r="AQ25" s="1"/>
    </row>
    <row r="26" spans="1:43" ht="13" x14ac:dyDescent="0.3">
      <c r="A26" s="1"/>
      <c r="B26" s="1"/>
      <c r="C26" s="17"/>
      <c r="D26" s="1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653"/>
      <c r="AB26" s="653"/>
      <c r="AC26" s="653"/>
      <c r="AD26" s="653"/>
      <c r="AE26" s="1"/>
      <c r="AF26" s="1"/>
      <c r="AG26" s="1"/>
      <c r="AH26" s="1"/>
      <c r="AI26" s="1"/>
      <c r="AJ26" s="1"/>
      <c r="AK26" s="1"/>
      <c r="AL26" s="1"/>
      <c r="AO26" s="1"/>
      <c r="AP26" s="1"/>
      <c r="AQ26" s="1"/>
    </row>
    <row r="27" spans="1:43" ht="13" x14ac:dyDescent="0.3">
      <c r="A27" s="1"/>
      <c r="B27" s="1"/>
      <c r="C27" s="17"/>
      <c r="D27" s="1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653"/>
      <c r="AB27" s="653"/>
      <c r="AC27" s="653"/>
      <c r="AD27" s="653"/>
      <c r="AE27" s="1"/>
      <c r="AF27" s="1"/>
      <c r="AG27" s="1"/>
      <c r="AH27" s="1"/>
      <c r="AI27" s="1"/>
      <c r="AJ27" s="1"/>
      <c r="AK27" s="1"/>
      <c r="AL27" s="1"/>
      <c r="AO27" s="1"/>
      <c r="AP27" s="1"/>
      <c r="AQ27" s="1"/>
    </row>
    <row r="28" spans="1:43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653"/>
      <c r="AB28" s="653"/>
      <c r="AC28" s="653"/>
      <c r="AD28" s="653"/>
      <c r="AE28" s="1"/>
      <c r="AF28" s="1"/>
      <c r="AG28" s="1"/>
      <c r="AH28" s="1"/>
      <c r="AI28" s="1"/>
      <c r="AJ28" s="1"/>
      <c r="AK28" s="1"/>
      <c r="AL28" s="1"/>
      <c r="AO28" s="1"/>
      <c r="AP28" s="1"/>
      <c r="AQ28" s="1"/>
    </row>
    <row r="29" spans="1:43" ht="13" x14ac:dyDescent="0.3">
      <c r="A29" s="1"/>
      <c r="B29" s="656" t="s">
        <v>53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653"/>
      <c r="AB29" s="653"/>
      <c r="AC29" s="653"/>
      <c r="AD29" s="653"/>
      <c r="AE29" s="1"/>
      <c r="AF29" s="1"/>
      <c r="AG29" s="1"/>
      <c r="AH29" s="1"/>
      <c r="AI29" s="1"/>
      <c r="AJ29" s="1"/>
      <c r="AK29" s="1"/>
      <c r="AL29" s="1"/>
      <c r="AO29" s="1"/>
      <c r="AP29" s="1"/>
      <c r="AQ29" s="1"/>
    </row>
    <row r="30" spans="1:43" ht="13" x14ac:dyDescent="0.3">
      <c r="A30" s="1"/>
      <c r="B30" s="9" t="s">
        <v>54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653"/>
      <c r="AB30" s="653"/>
      <c r="AC30" s="653"/>
      <c r="AD30" s="653"/>
      <c r="AE30" s="1"/>
      <c r="AF30" s="1"/>
      <c r="AG30" s="1"/>
      <c r="AH30" s="1"/>
      <c r="AI30" s="1"/>
      <c r="AJ30" s="1"/>
      <c r="AK30" s="1"/>
      <c r="AL30" s="1"/>
      <c r="AO30" s="1"/>
      <c r="AP30" s="1"/>
      <c r="AQ30" s="1"/>
    </row>
    <row r="31" spans="1:43" ht="13" x14ac:dyDescent="0.3">
      <c r="A31" s="1"/>
      <c r="B31" s="656" t="s">
        <v>55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653"/>
      <c r="AB31" s="653"/>
      <c r="AC31" s="653"/>
      <c r="AD31" s="653"/>
      <c r="AE31" s="1"/>
      <c r="AF31" s="1"/>
      <c r="AG31" s="1"/>
      <c r="AH31" s="1"/>
      <c r="AI31" s="1"/>
      <c r="AJ31" s="1"/>
      <c r="AK31" s="1"/>
      <c r="AL31" s="1"/>
      <c r="AO31" s="1"/>
      <c r="AP31" s="1"/>
      <c r="AQ31" s="1"/>
    </row>
    <row r="35" spans="6:33" ht="15.75" customHeight="1" thickBot="1" x14ac:dyDescent="0.3"/>
    <row r="36" spans="6:33" ht="13.5" thickBot="1" x14ac:dyDescent="0.35">
      <c r="F36" s="100"/>
      <c r="G36" s="705" t="s">
        <v>56</v>
      </c>
      <c r="H36" s="706"/>
      <c r="I36" s="706"/>
      <c r="J36" s="706"/>
      <c r="K36" s="706"/>
      <c r="L36" s="706"/>
      <c r="M36" s="706"/>
      <c r="N36" s="706"/>
      <c r="O36" s="706"/>
      <c r="P36" s="706"/>
      <c r="Q36" s="706"/>
      <c r="R36" s="706"/>
      <c r="S36" s="707"/>
      <c r="T36" s="101"/>
      <c r="U36" s="715" t="s">
        <v>57</v>
      </c>
      <c r="V36" s="706"/>
      <c r="W36" s="706"/>
      <c r="X36" s="706"/>
      <c r="Y36" s="706"/>
      <c r="Z36" s="706"/>
      <c r="AA36" s="706"/>
      <c r="AB36" s="706"/>
      <c r="AC36" s="706"/>
      <c r="AD36" s="706"/>
      <c r="AE36" s="706"/>
      <c r="AF36" s="706"/>
      <c r="AG36" s="706"/>
    </row>
    <row r="37" spans="6:33" ht="13.5" thickBot="1" x14ac:dyDescent="0.35">
      <c r="F37" s="102" t="s">
        <v>58</v>
      </c>
      <c r="G37" s="103" t="s">
        <v>59</v>
      </c>
      <c r="H37" s="104" t="s">
        <v>60</v>
      </c>
      <c r="I37" s="105" t="s">
        <v>61</v>
      </c>
      <c r="J37" s="106" t="s">
        <v>62</v>
      </c>
      <c r="K37" s="107" t="s">
        <v>63</v>
      </c>
      <c r="L37" s="108" t="s">
        <v>64</v>
      </c>
      <c r="M37" s="109" t="s">
        <v>65</v>
      </c>
      <c r="N37" s="104" t="s">
        <v>66</v>
      </c>
      <c r="O37" s="105" t="s">
        <v>67</v>
      </c>
      <c r="P37" s="106" t="s">
        <v>68</v>
      </c>
      <c r="Q37" s="107" t="s">
        <v>69</v>
      </c>
      <c r="R37" s="108" t="s">
        <v>70</v>
      </c>
      <c r="S37" s="110" t="s">
        <v>51</v>
      </c>
      <c r="T37" s="111" t="s">
        <v>58</v>
      </c>
      <c r="U37" s="112" t="s">
        <v>59</v>
      </c>
      <c r="V37" s="113" t="s">
        <v>60</v>
      </c>
      <c r="W37" s="114" t="s">
        <v>61</v>
      </c>
      <c r="X37" s="115" t="s">
        <v>62</v>
      </c>
      <c r="Y37" s="116" t="s">
        <v>63</v>
      </c>
      <c r="Z37" s="117" t="s">
        <v>64</v>
      </c>
      <c r="AA37" s="118" t="s">
        <v>65</v>
      </c>
      <c r="AB37" s="113" t="s">
        <v>66</v>
      </c>
      <c r="AC37" s="114" t="s">
        <v>67</v>
      </c>
      <c r="AD37" s="115" t="s">
        <v>68</v>
      </c>
      <c r="AE37" s="116" t="s">
        <v>69</v>
      </c>
      <c r="AF37" s="117" t="s">
        <v>70</v>
      </c>
      <c r="AG37" s="119" t="s">
        <v>51</v>
      </c>
    </row>
    <row r="38" spans="6:33" ht="13" x14ac:dyDescent="0.3">
      <c r="F38" s="657" t="s">
        <v>71</v>
      </c>
      <c r="G38" s="120">
        <v>0</v>
      </c>
      <c r="H38" s="121">
        <v>0</v>
      </c>
      <c r="I38" s="121">
        <v>0</v>
      </c>
      <c r="J38" s="121">
        <v>0</v>
      </c>
      <c r="K38" s="121">
        <v>0</v>
      </c>
      <c r="L38" s="121">
        <v>0</v>
      </c>
      <c r="M38" s="121">
        <v>0</v>
      </c>
      <c r="N38" s="121">
        <v>0</v>
      </c>
      <c r="O38" s="121">
        <v>0</v>
      </c>
      <c r="P38" s="121">
        <v>0</v>
      </c>
      <c r="Q38" s="121">
        <v>0</v>
      </c>
      <c r="R38" s="121">
        <v>0</v>
      </c>
      <c r="S38" s="122">
        <v>0</v>
      </c>
      <c r="T38" s="658" t="s">
        <v>71</v>
      </c>
      <c r="U38" s="120">
        <v>0</v>
      </c>
      <c r="V38" s="121">
        <v>0</v>
      </c>
      <c r="W38" s="121">
        <v>0</v>
      </c>
      <c r="X38" s="121">
        <v>0</v>
      </c>
      <c r="Y38" s="121">
        <v>0</v>
      </c>
      <c r="Z38" s="121">
        <v>0</v>
      </c>
      <c r="AA38" s="121">
        <v>0</v>
      </c>
      <c r="AB38" s="121">
        <v>0</v>
      </c>
      <c r="AC38" s="121">
        <v>0</v>
      </c>
      <c r="AD38" s="121">
        <v>0</v>
      </c>
      <c r="AE38" s="121">
        <v>0</v>
      </c>
      <c r="AF38" s="121">
        <v>0</v>
      </c>
      <c r="AG38" s="122">
        <v>0</v>
      </c>
    </row>
    <row r="39" spans="6:33" ht="13" x14ac:dyDescent="0.3">
      <c r="F39" s="659" t="s">
        <v>39</v>
      </c>
      <c r="G39" s="123" cm="1">
        <f t="array" aca="1" ref="G39" ca="1">IF(
   INDEX($H$2:$Z$14, COLUMN(A1), 2*ROW(A1)-1)&gt;0,
   INDEX($H$2:$Z$14, COLUMN(A1), 2*ROW(A1)-1),
   NA()
)</f>
        <v>5.9566787003610108E-2</v>
      </c>
      <c r="H39" s="124" cm="1">
        <f t="array" aca="1" ref="H39" ca="1">IF(
   INDEX($H$2:$Z$14, COLUMN(B1), 2*ROW(B1)-1)&gt;0,
   INDEX($H$2:$Z$14, COLUMN(B1), 2*ROW(B1)-1),
   NA()
)</f>
        <v>6.7567567567567571E-2</v>
      </c>
      <c r="I39" s="124" cm="1">
        <f t="array" aca="1" ref="I39" ca="1">IF(
   INDEX($H$2:$Z$14, COLUMN(C1), 2*ROW(C1)-1)&gt;0,
   INDEX($H$2:$Z$14, COLUMN(C1), 2*ROW(C1)-1),
   NA()
)</f>
        <v>7.0028011204481794E-2</v>
      </c>
      <c r="J39" s="124" cm="1">
        <f t="array" aca="1" ref="J39" ca="1">IF(
   INDEX($H$2:$Z$14, COLUMN(D1), 2*ROW(D1)-1)&gt;0,
   INDEX($H$2:$Z$14, COLUMN(D1), 2*ROW(D1)-1),
   NA()
)</f>
        <v>6.4801178203240065E-2</v>
      </c>
      <c r="K39" s="124" cm="1">
        <f t="array" aca="1" ref="K39" ca="1">IF(
   INDEX($H$2:$Z$14, COLUMN(E1), 2*ROW(E1)-1)&gt;0,
   INDEX($H$2:$Z$14, COLUMN(E1), 2*ROW(E1)-1),
   NA()
)</f>
        <v>6.4194008559201141E-2</v>
      </c>
      <c r="L39" s="124" cm="1">
        <f t="array" aca="1" ref="L39" ca="1">IF(
   INDEX($H$2:$Z$14, COLUMN(F1), 2*ROW(F1)-1)&gt;0,
   INDEX($H$2:$Z$14, COLUMN(F1), 2*ROW(F1)-1),
   NA()
)</f>
        <v>6.7605633802816895E-2</v>
      </c>
      <c r="M39" s="124" cm="1">
        <f t="array" aca="1" ref="M39" ca="1">IF(
   INDEX($H$2:$Z$14, COLUMN(G1), 2*ROW(G1)-1)&gt;0,
   INDEX($H$2:$Z$14, COLUMN(G1), 2*ROW(G1)-1),
   NA()
)</f>
        <v>4.1039671682626538E-2</v>
      </c>
      <c r="N39" s="124" cm="1">
        <f t="array" aca="1" ref="N39" ca="1">IF(
   INDEX($H$2:$Z$14, COLUMN(H1), 2*ROW(H1)-1)&gt;0,
   INDEX($H$2:$Z$14, COLUMN(H1), 2*ROW(H1)-1),
   NA()
)</f>
        <v>6.2015503875968991E-2</v>
      </c>
      <c r="O39" s="124" cm="1">
        <f t="array" aca="1" ref="O39" ca="1">IF(
   INDEX($H$2:$Z$14, COLUMN(I1), 2*ROW(I1)-1)&gt;0,
   INDEX($H$2:$Z$14, COLUMN(I1), 2*ROW(I1)-1),
   NA()
)</f>
        <v>4.9295774647887321E-2</v>
      </c>
      <c r="P39" s="124" cm="1">
        <f t="array" aca="1" ref="P39" ca="1">IF(
   INDEX($H$2:$Z$14, COLUMN(J1), 2*ROW(J1)-1)&gt;0,
   INDEX($H$2:$Z$14, COLUMN(J1), 2*ROW(J1)-1),
   NA()
)</f>
        <v>4.9261083743842367E-2</v>
      </c>
      <c r="Q39" s="124" cm="1">
        <f t="array" aca="1" ref="Q39" ca="1">IF(
   INDEX($H$2:$Z$14, COLUMN(K1), 2*ROW(K1)-1)&gt;0,
   INDEX($H$2:$Z$14, COLUMN(K1), 2*ROW(K1)-1),
   NA()
)</f>
        <v>6.2228654124457307E-2</v>
      </c>
      <c r="R39" s="124" cm="1">
        <f t="array" aca="1" ref="R39" ca="1">IF(
   INDEX($H$2:$Z$14, COLUMN(L1), 2*ROW(L1)-1)&gt;0,
   INDEX($H$2:$Z$14, COLUMN(L1), 2*ROW(L1)-1),
   NA()
)</f>
        <v>1.4684287812041116E-2</v>
      </c>
      <c r="S39" s="125" cm="1">
        <f t="array" aca="1" ref="S39" ca="1">IF(
   INDEX($H$2:$Z$14, COLUMN(M1), 2*ROW(M1)-1)&gt;0,
   INDEX($H$2:$Z$14, COLUMN(M1), 2*ROW(M1)-1),
   NA()
)</f>
        <v>5.6093080220453152E-2</v>
      </c>
      <c r="T39" s="660" t="s">
        <v>39</v>
      </c>
      <c r="U39" s="123">
        <f>AF2</f>
        <v>5.9674502712477394E-2</v>
      </c>
      <c r="V39" s="124">
        <f>AF3</f>
        <v>6.0810810810810814E-2</v>
      </c>
      <c r="W39" s="124">
        <f>AF4</f>
        <v>5.6100981767180924E-2</v>
      </c>
      <c r="X39" s="124">
        <f>AF5</f>
        <v>4.8600883652430045E-2</v>
      </c>
      <c r="Y39" s="124">
        <f>AF6</f>
        <v>5.2781740370898715E-2</v>
      </c>
      <c r="Z39" s="124">
        <f>AF7</f>
        <v>4.2253521126760563E-2</v>
      </c>
      <c r="AA39" s="124">
        <f>AF8</f>
        <v>2.7359781121751026E-2</v>
      </c>
      <c r="AB39" s="124">
        <f>AF9</f>
        <v>5.5727554179566562E-2</v>
      </c>
      <c r="AC39" s="124">
        <f>AF10</f>
        <v>3.1029619181946404E-2</v>
      </c>
      <c r="AD39" s="124">
        <f>AF11</f>
        <v>4.4334975369458129E-2</v>
      </c>
      <c r="AE39" s="124">
        <f>AF12</f>
        <v>6.8017366136034735E-2</v>
      </c>
      <c r="AF39" s="124">
        <f>AF13</f>
        <v>3.5294117647058823E-2</v>
      </c>
      <c r="AG39" s="125">
        <f>AF14</f>
        <v>4.8272482234746387E-2</v>
      </c>
    </row>
    <row r="40" spans="6:33" ht="13" x14ac:dyDescent="0.3">
      <c r="F40" s="659" t="s">
        <v>40</v>
      </c>
      <c r="G40" s="123" cm="1">
        <f t="array" aca="1" ref="G40" ca="1">IF(
   INDEX($H$2:$Z$14, COLUMN(A2), 2*ROW(A2)-1)&gt;0,
   INDEX($H$2:$Z$14, COLUMN(A2), 2*ROW(A2)-1),
   NA()
)</f>
        <v>0.1299638989169675</v>
      </c>
      <c r="H40" s="124" cm="1">
        <f t="array" aca="1" ref="H40" ca="1">IF(
   INDEX($H$2:$Z$14, COLUMN(B2), 2*ROW(B2)-1)&gt;0,
   INDEX($H$2:$Z$14, COLUMN(B2), 2*ROW(B2)-1),
   NA()
)</f>
        <v>0.12162162162162163</v>
      </c>
      <c r="I40" s="124" cm="1">
        <f t="array" aca="1" ref="I40" ca="1">IF(
   INDEX($H$2:$Z$14, COLUMN(C2), 2*ROW(C2)-1)&gt;0,
   INDEX($H$2:$Z$14, COLUMN(C2), 2*ROW(C2)-1),
   NA()
)</f>
        <v>0.14005602240896359</v>
      </c>
      <c r="J40" s="124" cm="1">
        <f t="array" aca="1" ref="J40" ca="1">IF(
   INDEX($H$2:$Z$14, COLUMN(D2), 2*ROW(D2)-1)&gt;0,
   INDEX($H$2:$Z$14, COLUMN(D2), 2*ROW(D2)-1),
   NA()
)</f>
        <v>0.16200294550810015</v>
      </c>
      <c r="K40" s="124" cm="1">
        <f t="array" aca="1" ref="K40" ca="1">IF(
   INDEX($H$2:$Z$14, COLUMN(E2), 2*ROW(E2)-1)&gt;0,
   INDEX($H$2:$Z$14, COLUMN(E2), 2*ROW(E2)-1),
   NA()
)</f>
        <v>0.15691868758915833</v>
      </c>
      <c r="L40" s="124" cm="1">
        <f t="array" aca="1" ref="L40" ca="1">IF(
   INDEX($H$2:$Z$14, COLUMN(F2), 2*ROW(F2)-1)&gt;0,
   INDEX($H$2:$Z$14, COLUMN(F2), 2*ROW(F2)-1),
   NA()
)</f>
        <v>0.14084507042253522</v>
      </c>
      <c r="M40" s="124" cm="1">
        <f t="array" aca="1" ref="M40" ca="1">IF(
   INDEX($H$2:$Z$14, COLUMN(G2), 2*ROW(G2)-1)&gt;0,
   INDEX($H$2:$Z$14, COLUMN(G2), 2*ROW(G2)-1),
   NA()
)</f>
        <v>0.12311901504787962</v>
      </c>
      <c r="N40" s="124" cm="1">
        <f t="array" aca="1" ref="N40" ca="1">IF(
   INDEX($H$2:$Z$14, COLUMN(H2), 2*ROW(H2)-1)&gt;0,
   INDEX($H$2:$Z$14, COLUMN(H2), 2*ROW(H2)-1),
   NA()
)</f>
        <v>0.14263565891472868</v>
      </c>
      <c r="O40" s="124" cm="1">
        <f t="array" aca="1" ref="O40" ca="1">IF(
   INDEX($H$2:$Z$14, COLUMN(I2), 2*ROW(I2)-1)&gt;0,
   INDEX($H$2:$Z$14, COLUMN(I2), 2*ROW(I2)-1),
   NA()
)</f>
        <v>9.8591549295774641E-2</v>
      </c>
      <c r="P40" s="124" cm="1">
        <f t="array" aca="1" ref="P40" ca="1">IF(
   INDEX($H$2:$Z$14, COLUMN(J2), 2*ROW(J2)-1)&gt;0,
   INDEX($H$2:$Z$14, COLUMN(J2), 2*ROW(J2)-1),
   NA()
)</f>
        <v>0.13793103448275862</v>
      </c>
      <c r="Q40" s="124" cm="1">
        <f t="array" aca="1" ref="Q40" ca="1">IF(
   INDEX($H$2:$Z$14, COLUMN(K2), 2*ROW(K2)-1)&gt;0,
   INDEX($H$2:$Z$14, COLUMN(K2), 2*ROW(K2)-1),
   NA()
)</f>
        <v>0.1345875542691751</v>
      </c>
      <c r="R40" s="124" cm="1">
        <f t="array" aca="1" ref="R40" ca="1">IF(
   INDEX($H$2:$Z$14, COLUMN(L2), 2*ROW(L2)-1)&gt;0,
   INDEX($H$2:$Z$14, COLUMN(L2), 2*ROW(L2)-1),
   NA()
)</f>
        <v>6.6079295154185022E-2</v>
      </c>
      <c r="S40" s="125" cm="1">
        <f t="array" aca="1" ref="S40" ca="1">IF(
   INDEX($H$2:$Z$14, COLUMN(M2), 2*ROW(M2)-1)&gt;0,
   INDEX($H$2:$Z$14, COLUMN(M2), 2*ROW(M2)-1),
   NA()
)</f>
        <v>0.12933251684017147</v>
      </c>
      <c r="T40" s="660" t="s">
        <v>40</v>
      </c>
      <c r="U40" s="123">
        <f>AG2</f>
        <v>0.1410488245931284</v>
      </c>
      <c r="V40" s="124">
        <f>AG3</f>
        <v>0.10810810810810811</v>
      </c>
      <c r="W40" s="124">
        <f>AG4</f>
        <v>0.15427769985974754</v>
      </c>
      <c r="X40" s="124">
        <f>AG5</f>
        <v>0.10014727540500737</v>
      </c>
      <c r="Y40" s="124">
        <f>AG6</f>
        <v>0.13266761768901569</v>
      </c>
      <c r="Z40" s="124">
        <f>AG7</f>
        <v>0.11971830985915492</v>
      </c>
      <c r="AA40" s="124">
        <f>AG8</f>
        <v>0.10259917920656635</v>
      </c>
      <c r="AB40" s="124">
        <f>AG9</f>
        <v>0.11145510835913312</v>
      </c>
      <c r="AC40" s="124">
        <f>AG10</f>
        <v>8.3215796897038077E-2</v>
      </c>
      <c r="AD40" s="124">
        <f>AG11</f>
        <v>0.11494252873563218</v>
      </c>
      <c r="AE40" s="124">
        <f>AG12</f>
        <v>0.13892908827785819</v>
      </c>
      <c r="AF40" s="124">
        <f>AG13</f>
        <v>7.2058823529411759E-2</v>
      </c>
      <c r="AG40" s="125">
        <f>AG14</f>
        <v>0.11455525606469003</v>
      </c>
    </row>
    <row r="41" spans="6:33" ht="13" x14ac:dyDescent="0.3">
      <c r="F41" s="659" t="s">
        <v>41</v>
      </c>
      <c r="G41" s="123" cm="1">
        <f t="array" aca="1" ref="G41" ca="1">IF(
   INDEX($H$2:$Z$14, COLUMN(A3), 2*ROW(A3)-1)&gt;0,
   INDEX($H$2:$Z$14, COLUMN(A3), 2*ROW(A3)-1),
   NA()
)</f>
        <v>0.22202166064981949</v>
      </c>
      <c r="H41" s="124" cm="1">
        <f t="array" aca="1" ref="H41" ca="1">IF(
   INDEX($H$2:$Z$14, COLUMN(B3), 2*ROW(B3)-1)&gt;0,
   INDEX($H$2:$Z$14, COLUMN(B3), 2*ROW(B3)-1),
   NA()
)</f>
        <v>0.22972972972972974</v>
      </c>
      <c r="I41" s="124" cm="1">
        <f t="array" aca="1" ref="I41" ca="1">IF(
   INDEX($H$2:$Z$14, COLUMN(C3), 2*ROW(C3)-1)&gt;0,
   INDEX($H$2:$Z$14, COLUMN(C3), 2*ROW(C3)-1),
   NA()
)</f>
        <v>0.25210084033613445</v>
      </c>
      <c r="J41" s="124" cm="1">
        <f t="array" aca="1" ref="J41" ca="1">IF(
   INDEX($H$2:$Z$14, COLUMN(D3), 2*ROW(D3)-1)&gt;0,
   INDEX($H$2:$Z$14, COLUMN(D3), 2*ROW(D3)-1),
   NA()
)</f>
        <v>0.26951399116347569</v>
      </c>
      <c r="K41" s="124" cm="1">
        <f t="array" aca="1" ref="K41" ca="1">IF(
   INDEX($H$2:$Z$14, COLUMN(E3), 2*ROW(E3)-1)&gt;0,
   INDEX($H$2:$Z$14, COLUMN(E3), 2*ROW(E3)-1),
   NA()
)</f>
        <v>0.28530670470756064</v>
      </c>
      <c r="L41" s="124" cm="1">
        <f t="array" aca="1" ref="L41" ca="1">IF(
   INDEX($H$2:$Z$14, COLUMN(F3), 2*ROW(F3)-1)&gt;0,
   INDEX($H$2:$Z$14, COLUMN(F3), 2*ROW(F3)-1),
   NA()
)</f>
        <v>0.21971830985915494</v>
      </c>
      <c r="M41" s="124" cm="1">
        <f t="array" aca="1" ref="M41" ca="1">IF(
   INDEX($H$2:$Z$14, COLUMN(G3), 2*ROW(G3)-1)&gt;0,
   INDEX($H$2:$Z$14, COLUMN(G3), 2*ROW(G3)-1),
   NA()
)</f>
        <v>0.2188782489740082</v>
      </c>
      <c r="N41" s="124" cm="1">
        <f t="array" aca="1" ref="N41" ca="1">IF(
   INDEX($H$2:$Z$14, COLUMN(H3), 2*ROW(H3)-1)&gt;0,
   INDEX($H$2:$Z$14, COLUMN(H3), 2*ROW(H3)-1),
   NA()
)</f>
        <v>0.22635658914728682</v>
      </c>
      <c r="O41" s="124" cm="1">
        <f t="array" aca="1" ref="O41" ca="1">IF(
   INDEX($H$2:$Z$14, COLUMN(I3), 2*ROW(I3)-1)&gt;0,
   INDEX($H$2:$Z$14, COLUMN(I3), 2*ROW(I3)-1),
   NA()
)</f>
        <v>0.17887323943661973</v>
      </c>
      <c r="P41" s="124" cm="1">
        <f t="array" aca="1" ref="P41" ca="1">IF(
   INDEX($H$2:$Z$14, COLUMN(J3), 2*ROW(J3)-1)&gt;0,
   INDEX($H$2:$Z$14, COLUMN(J3), 2*ROW(J3)-1),
   NA()
)</f>
        <v>0.24630541871921183</v>
      </c>
      <c r="Q41" s="124" cm="1">
        <f t="array" aca="1" ref="Q41" ca="1">IF(
   INDEX($H$2:$Z$14, COLUMN(K3), 2*ROW(K3)-1)&gt;0,
   INDEX($H$2:$Z$14, COLUMN(K3), 2*ROW(K3)-1),
   NA()
)</f>
        <v>0.22575976845151954</v>
      </c>
      <c r="R41" s="124" cm="1">
        <f t="array" aca="1" ref="R41" ca="1">IF(
   INDEX($H$2:$Z$14, COLUMN(L3), 2*ROW(L3)-1)&gt;0,
   INDEX($H$2:$Z$14, COLUMN(L3), 2*ROW(L3)-1),
   NA()
)</f>
        <v>0.14390602055800295</v>
      </c>
      <c r="S41" s="125" cm="1">
        <f t="array" aca="1" ref="S41" ca="1">IF(
   INDEX($H$2:$Z$14, COLUMN(M3), 2*ROW(M3)-1)&gt;0,
   INDEX($H$2:$Z$14, COLUMN(M3), 2*ROW(M3)-1),
   NA()
)</f>
        <v>0.22645437844458052</v>
      </c>
      <c r="T41" s="660" t="s">
        <v>41</v>
      </c>
      <c r="U41" s="123">
        <f>AH2</f>
        <v>0.23508137432188064</v>
      </c>
      <c r="V41" s="124">
        <f>AH3</f>
        <v>0.1891891891891892</v>
      </c>
      <c r="W41" s="124">
        <f>AH4</f>
        <v>0.26647966339410939</v>
      </c>
      <c r="X41" s="124">
        <f>AH5</f>
        <v>0.203240058910162</v>
      </c>
      <c r="Y41" s="124">
        <f>AH6</f>
        <v>0.22824536376604851</v>
      </c>
      <c r="Z41" s="124">
        <f>AH7</f>
        <v>0.19718309859154928</v>
      </c>
      <c r="AA41" s="124">
        <f>AH8</f>
        <v>0.20519835841313269</v>
      </c>
      <c r="AB41" s="124">
        <f>AH9</f>
        <v>0.23065015479876161</v>
      </c>
      <c r="AC41" s="124">
        <f>AH10</f>
        <v>0.14809590973201692</v>
      </c>
      <c r="AD41" s="124">
        <f>AH11</f>
        <v>0.22988505747126436</v>
      </c>
      <c r="AE41" s="124">
        <f>AH12</f>
        <v>0.22865412445730826</v>
      </c>
      <c r="AF41" s="124">
        <f>AH13</f>
        <v>0.14117647058823529</v>
      </c>
      <c r="AG41" s="125">
        <f>AH14</f>
        <v>0.20779220779220781</v>
      </c>
    </row>
    <row r="42" spans="6:33" ht="13" x14ac:dyDescent="0.3">
      <c r="F42" s="659" t="s">
        <v>42</v>
      </c>
      <c r="G42" s="123" cm="1">
        <f t="array" aca="1" ref="G42" ca="1">IF(
   INDEX($H$2:$Z$14, COLUMN(A4), 2*ROW(A4)-1)&gt;0,
   INDEX($H$2:$Z$14, COLUMN(A4), 2*ROW(A4)-1),
   NA()
)</f>
        <v>0.32490974729241878</v>
      </c>
      <c r="H42" s="124" cm="1">
        <f t="array" aca="1" ref="H42" ca="1">IF(
   INDEX($H$2:$Z$14, COLUMN(B4), 2*ROW(B4)-1)&gt;0,
   INDEX($H$2:$Z$14, COLUMN(B4), 2*ROW(B4)-1),
   NA()
)</f>
        <v>0.3108108108108108</v>
      </c>
      <c r="I42" s="124" cm="1">
        <f t="array" aca="1" ref="I42" ca="1">IF(
   INDEX($H$2:$Z$14, COLUMN(C4), 2*ROW(C4)-1)&gt;0,
   INDEX($H$2:$Z$14, COLUMN(C4), 2*ROW(C4)-1),
   NA()
)</f>
        <v>0.36414565826330531</v>
      </c>
      <c r="J42" s="124" cm="1">
        <f t="array" aca="1" ref="J42" ca="1">IF(
   INDEX($H$2:$Z$14, COLUMN(D4), 2*ROW(D4)-1)&gt;0,
   INDEX($H$2:$Z$14, COLUMN(D4), 2*ROW(D4)-1),
   NA()
)</f>
        <v>0.32400589101620031</v>
      </c>
      <c r="K42" s="124" cm="1">
        <f t="array" aca="1" ref="K42" ca="1">IF(
   INDEX($H$2:$Z$14, COLUMN(E4), 2*ROW(E4)-1)&gt;0,
   INDEX($H$2:$Z$14, COLUMN(E4), 2*ROW(E4)-1),
   NA()
)</f>
        <v>0.38659058487874465</v>
      </c>
      <c r="L42" s="124" cm="1">
        <f t="array" aca="1" ref="L42" ca="1">IF(
   INDEX($H$2:$Z$14, COLUMN(F4), 2*ROW(F4)-1)&gt;0,
   INDEX($H$2:$Z$14, COLUMN(F4), 2*ROW(F4)-1),
   NA()
)</f>
        <v>0.3</v>
      </c>
      <c r="M42" s="124" cm="1">
        <f t="array" aca="1" ref="M42" ca="1">IF(
   INDEX($H$2:$Z$14, COLUMN(G4), 2*ROW(G4)-1)&gt;0,
   INDEX($H$2:$Z$14, COLUMN(G4), 2*ROW(G4)-1),
   NA()
)</f>
        <v>0.31463748290013682</v>
      </c>
      <c r="N42" s="124" cm="1">
        <f t="array" aca="1" ref="N42" ca="1">IF(
   INDEX($H$2:$Z$14, COLUMN(H4), 2*ROW(H4)-1)&gt;0,
   INDEX($H$2:$Z$14, COLUMN(H4), 2*ROW(H4)-1),
   NA()
)</f>
        <v>0.32868217054263565</v>
      </c>
      <c r="O42" s="124" cm="1">
        <f t="array" aca="1" ref="O42" ca="1">IF(
   INDEX($H$2:$Z$14, COLUMN(I4), 2*ROW(I4)-1)&gt;0,
   INDEX($H$2:$Z$14, COLUMN(I4), 2*ROW(I4)-1),
   NA()
)</f>
        <v>0.25352112676056338</v>
      </c>
      <c r="P42" s="124" cm="1">
        <f t="array" aca="1" ref="P42" ca="1">IF(
   INDEX($H$2:$Z$14, COLUMN(J4), 2*ROW(J4)-1)&gt;0,
   INDEX($H$2:$Z$14, COLUMN(J4), 2*ROW(J4)-1),
   NA()
)</f>
        <v>0.36124794745484401</v>
      </c>
      <c r="Q42" s="124" cm="1">
        <f t="array" aca="1" ref="Q42" ca="1">IF(
   INDEX($H$2:$Z$14, COLUMN(K4), 2*ROW(K4)-1)&gt;0,
   INDEX($H$2:$Z$14, COLUMN(K4), 2*ROW(K4)-1),
   NA()
)</f>
        <v>0.32706222865412443</v>
      </c>
      <c r="R42" s="124" cm="1">
        <f t="array" aca="1" ref="R42" ca="1">IF(
   INDEX($H$2:$Z$14, COLUMN(L4), 2*ROW(L4)-1)&gt;0,
   INDEX($H$2:$Z$14, COLUMN(L4), 2*ROW(L4)-1),
   NA()
)</f>
        <v>0.23201174743024963</v>
      </c>
      <c r="S42" s="125" cm="1">
        <f t="array" aca="1" ref="S42" ca="1">IF(
   INDEX($H$2:$Z$14, COLUMN(M4), 2*ROW(M4)-1)&gt;0,
   INDEX($H$2:$Z$14, COLUMN(M4), 2*ROW(M4)-1),
   NA()
)</f>
        <v>0.31843233312921004</v>
      </c>
      <c r="T42" s="660" t="s">
        <v>42</v>
      </c>
      <c r="U42" s="123">
        <f>AI2</f>
        <v>0.33634719710669075</v>
      </c>
      <c r="V42" s="124">
        <f>AI3</f>
        <v>0.3108108108108108</v>
      </c>
      <c r="W42" s="124">
        <f>AI4</f>
        <v>0.37868162692847124</v>
      </c>
      <c r="X42" s="124">
        <f>AI5</f>
        <v>0.2768777614138439</v>
      </c>
      <c r="Y42" s="124">
        <f>AI6</f>
        <v>0.34236804564907275</v>
      </c>
      <c r="Z42" s="124">
        <f>AI7</f>
        <v>0.26760563380281688</v>
      </c>
      <c r="AA42" s="124">
        <f>AI8</f>
        <v>0.33105335157318744</v>
      </c>
      <c r="AB42" s="124">
        <f>AI9</f>
        <v>0.32972136222910214</v>
      </c>
      <c r="AC42" s="124">
        <f>AI10</f>
        <v>0.23272214386459802</v>
      </c>
      <c r="AD42" s="124">
        <f>AI11</f>
        <v>0.34482758620689657</v>
      </c>
      <c r="AE42" s="124">
        <f>AI12</f>
        <v>0.31114327062228653</v>
      </c>
      <c r="AF42" s="124">
        <f>AI13</f>
        <v>0.21029411764705883</v>
      </c>
      <c r="AG42" s="125">
        <f>AI14</f>
        <v>0.30531732418524871</v>
      </c>
    </row>
    <row r="43" spans="6:33" ht="13" x14ac:dyDescent="0.3">
      <c r="F43" s="659" t="s">
        <v>43</v>
      </c>
      <c r="G43" s="123" cm="1">
        <f t="array" aca="1" ref="G43" ca="1">IF(
   INDEX($H$2:$Z$14, COLUMN(A5), 2*ROW(A5)-1)&gt;0,
   INDEX($H$2:$Z$14, COLUMN(A5), 2*ROW(A5)-1),
   NA()
)</f>
        <v>0.38267148014440433</v>
      </c>
      <c r="H43" s="124" cm="1">
        <f t="array" aca="1" ref="H43" ca="1">IF(
   INDEX($H$2:$Z$14, COLUMN(B5), 2*ROW(B5)-1)&gt;0,
   INDEX($H$2:$Z$14, COLUMN(B5), 2*ROW(B5)-1),
   NA()
)</f>
        <v>0.38918918918918921</v>
      </c>
      <c r="I43" s="124" cm="1">
        <f t="array" aca="1" ref="I43" ca="1">IF(
   INDEX($H$2:$Z$14, COLUMN(C5), 2*ROW(C5)-1)&gt;0,
   INDEX($H$2:$Z$14, COLUMN(C5), 2*ROW(C5)-1),
   NA()
)</f>
        <v>0.43417366946778713</v>
      </c>
      <c r="J43" s="124" cm="1">
        <f t="array" aca="1" ref="J43" ca="1">IF(
   INDEX($H$2:$Z$14, COLUMN(D5), 2*ROW(D5)-1)&gt;0,
   INDEX($H$2:$Z$14, COLUMN(D5), 2*ROW(D5)-1),
   NA()
)</f>
        <v>0.38291605301914583</v>
      </c>
      <c r="K43" s="124" cm="1">
        <f t="array" aca="1" ref="K43" ca="1">IF(
   INDEX($H$2:$Z$14, COLUMN(E5), 2*ROW(E5)-1)&gt;0,
   INDEX($H$2:$Z$14, COLUMN(E5), 2*ROW(E5)-1),
   NA()
)</f>
        <v>0.47218259629101283</v>
      </c>
      <c r="L43" s="124" cm="1">
        <f t="array" aca="1" ref="L43" ca="1">IF(
   INDEX($H$2:$Z$14, COLUMN(F5), 2*ROW(F5)-1)&gt;0,
   INDEX($H$2:$Z$14, COLUMN(F5), 2*ROW(F5)-1),
   NA()
)</f>
        <v>0.36338028169014086</v>
      </c>
      <c r="M43" s="124" cm="1">
        <f t="array" aca="1" ref="M43" ca="1">IF(
   INDEX($H$2:$Z$14, COLUMN(G5), 2*ROW(G5)-1)&gt;0,
   INDEX($H$2:$Z$14, COLUMN(G5), 2*ROW(G5)-1),
   NA()
)</f>
        <v>0.38303693570451436</v>
      </c>
      <c r="N43" s="124" cm="1">
        <f t="array" aca="1" ref="N43" ca="1">IF(
   INDEX($H$2:$Z$14, COLUMN(H5), 2*ROW(H5)-1)&gt;0,
   INDEX($H$2:$Z$14, COLUMN(H5), 2*ROW(H5)-1),
   NA()
)</f>
        <v>0.413953488372093</v>
      </c>
      <c r="O43" s="124" cm="1">
        <f t="array" aca="1" ref="O43" ca="1">IF(
   INDEX($H$2:$Z$14, COLUMN(I5), 2*ROW(I5)-1)&gt;0,
   INDEX($H$2:$Z$14, COLUMN(I5), 2*ROW(I5)-1),
   NA()
)</f>
        <v>0.3</v>
      </c>
      <c r="P43" s="124" cm="1">
        <f t="array" aca="1" ref="P43" ca="1">IF(
   INDEX($H$2:$Z$14, COLUMN(J5), 2*ROW(J5)-1)&gt;0,
   INDEX($H$2:$Z$14, COLUMN(J5), 2*ROW(J5)-1),
   NA()
)</f>
        <v>0.44334975369458129</v>
      </c>
      <c r="Q43" s="124" cm="1">
        <f t="array" aca="1" ref="Q43" ca="1">IF(
   INDEX($H$2:$Z$14, COLUMN(K5), 2*ROW(K5)-1)&gt;0,
   INDEX($H$2:$Z$14, COLUMN(K5), 2*ROW(K5)-1),
   NA()
)</f>
        <v>0.37626628075253254</v>
      </c>
      <c r="R43" s="124" cm="1">
        <f t="array" aca="1" ref="R43" ca="1">IF(
   INDEX($H$2:$Z$14, COLUMN(L5), 2*ROW(L5)-1)&gt;0,
   INDEX($H$2:$Z$14, COLUMN(L5), 2*ROW(L5)-1),
   NA()
)</f>
        <v>0.28487518355359764</v>
      </c>
      <c r="S43" s="125" cm="1">
        <f t="array" aca="1" ref="S43" ca="1">IF(
   INDEX($H$2:$Z$14, COLUMN(M5), 2*ROW(M5)-1)&gt;0,
   INDEX($H$2:$Z$14, COLUMN(M5), 2*ROW(M5)-1),
   NA()
)</f>
        <v>0.38493570116350273</v>
      </c>
      <c r="T43" s="660" t="s">
        <v>43</v>
      </c>
      <c r="U43" s="123">
        <f>AJ2</f>
        <v>0.37793851717902349</v>
      </c>
      <c r="V43" s="124">
        <f>AJ3</f>
        <v>0.38918918918918921</v>
      </c>
      <c r="W43" s="124">
        <f>AJ4</f>
        <v>0.43478260869565216</v>
      </c>
      <c r="X43" s="124">
        <f>AJ5</f>
        <v>0.3328424153166421</v>
      </c>
      <c r="Y43" s="124">
        <f>AJ6</f>
        <v>0.4136947218259629</v>
      </c>
      <c r="Z43" s="124">
        <f>AJ7</f>
        <v>0.33380281690140845</v>
      </c>
      <c r="AA43" s="124">
        <f>AJ8</f>
        <v>0.38850889192886456</v>
      </c>
      <c r="AB43" s="124">
        <f>AJ9</f>
        <v>0.4024767801857585</v>
      </c>
      <c r="AC43" s="124">
        <f>AJ10</f>
        <v>0.27080394922425954</v>
      </c>
      <c r="AD43" s="124">
        <f>AJ11</f>
        <v>0.39408866995073893</v>
      </c>
      <c r="AE43" s="124">
        <f>AJ12</f>
        <v>0.38205499276410998</v>
      </c>
      <c r="AF43" s="124">
        <f>AJ13</f>
        <v>0.2676470588235294</v>
      </c>
      <c r="AG43" s="125">
        <f>AJ14</f>
        <v>0.36535162950257288</v>
      </c>
    </row>
    <row r="44" spans="6:33" ht="13" x14ac:dyDescent="0.3">
      <c r="F44" s="659" t="s">
        <v>44</v>
      </c>
      <c r="G44" s="123" cm="1">
        <f t="array" aca="1" ref="G44" ca="1">IF(
   INDEX($H$2:$Z$14, COLUMN(A6), 2*ROW(A6)-1)&gt;0,
   INDEX($H$2:$Z$14, COLUMN(A6), 2*ROW(A6)-1),
   NA()
)</f>
        <v>0.41877256317689532</v>
      </c>
      <c r="H44" s="124" cm="1">
        <f t="array" aca="1" ref="H44" ca="1">IF(
   INDEX($H$2:$Z$14, COLUMN(B6), 2*ROW(B6)-1)&gt;0,
   INDEX($H$2:$Z$14, COLUMN(B6), 2*ROW(B6)-1),
   NA()
)</f>
        <v>0.42432432432432432</v>
      </c>
      <c r="I44" s="124" cm="1">
        <f t="array" aca="1" ref="I44" ca="1">IF(
   INDEX($H$2:$Z$14, COLUMN(C6), 2*ROW(C6)-1)&gt;0,
   INDEX($H$2:$Z$14, COLUMN(C6), 2*ROW(C6)-1),
   NA()
)</f>
        <v>0.46218487394957986</v>
      </c>
      <c r="J44" s="124" cm="1">
        <f t="array" aca="1" ref="J44" ca="1">IF(
   INDEX($H$2:$Z$14, COLUMN(D6), 2*ROW(D6)-1)&gt;0,
   INDEX($H$2:$Z$14, COLUMN(D6), 2*ROW(D6)-1),
   NA()
)</f>
        <v>0.43446244477172313</v>
      </c>
      <c r="K44" s="124" cm="1">
        <f t="array" aca="1" ref="K44" ca="1">IF(
   INDEX($H$2:$Z$14, COLUMN(E6), 2*ROW(E6)-1)&gt;0,
   INDEX($H$2:$Z$14, COLUMN(E6), 2*ROW(E6)-1),
   NA()
)</f>
        <v>0.50641940085592008</v>
      </c>
      <c r="L44" s="124" cm="1">
        <f t="array" aca="1" ref="L44" ca="1">IF(
   INDEX($H$2:$Z$14, COLUMN(F6), 2*ROW(F6)-1)&gt;0,
   INDEX($H$2:$Z$14, COLUMN(F6), 2*ROW(F6)-1),
   NA()
)</f>
        <v>0.4</v>
      </c>
      <c r="M44" s="124" cm="1">
        <f t="array" aca="1" ref="M44" ca="1">IF(
   INDEX($H$2:$Z$14, COLUMN(G6), 2*ROW(G6)-1)&gt;0,
   INDEX($H$2:$Z$14, COLUMN(G6), 2*ROW(G6)-1),
   NA()
)</f>
        <v>0.42407660738714092</v>
      </c>
      <c r="N44" s="124" cm="1">
        <f t="array" aca="1" ref="N44" ca="1">IF(
   INDEX($H$2:$Z$14, COLUMN(H6), 2*ROW(H6)-1)&gt;0,
   INDEX($H$2:$Z$14, COLUMN(H6), 2*ROW(H6)-1),
   NA()
)</f>
        <v>0.45581395348837211</v>
      </c>
      <c r="O44" s="124" cm="1">
        <f t="array" aca="1" ref="O44" ca="1">IF(
   INDEX($H$2:$Z$14, COLUMN(I6), 2*ROW(I6)-1)&gt;0,
   INDEX($H$2:$Z$14, COLUMN(I6), 2*ROW(I6)-1),
   NA()
)</f>
        <v>0.3380281690140845</v>
      </c>
      <c r="P44" s="124" cm="1">
        <f t="array" aca="1" ref="P44" ca="1">IF(
   INDEX($H$2:$Z$14, COLUMN(J6), 2*ROW(J6)-1)&gt;0,
   INDEX($H$2:$Z$14, COLUMN(J6), 2*ROW(J6)-1),
   NA()
)</f>
        <v>0.46305418719211822</v>
      </c>
      <c r="Q44" s="124" cm="1">
        <f t="array" aca="1" ref="Q44" ca="1">IF(
   INDEX($H$2:$Z$14, COLUMN(K6), 2*ROW(K6)-1)&gt;0,
   INDEX($H$2:$Z$14, COLUMN(K6), 2*ROW(K6)-1),
   NA()
)</f>
        <v>0.43125904486251809</v>
      </c>
      <c r="R44" s="124" cm="1">
        <f t="array" aca="1" ref="R44" ca="1">IF(
   INDEX($H$2:$Z$14, COLUMN(L6), 2*ROW(L6)-1)&gt;0,
   INDEX($H$2:$Z$14, COLUMN(L6), 2*ROW(L6)-1),
   NA()
)</f>
        <v>0.30837004405286345</v>
      </c>
      <c r="S44" s="125" cm="1">
        <f t="array" aca="1" ref="S44" ca="1">IF(
   INDEX($H$2:$Z$14, COLUMN(M6), 2*ROW(M6)-1)&gt;0,
   INDEX($H$2:$Z$14, COLUMN(M6), 2*ROW(M6)-1),
   NA()
)</f>
        <v>0.42180036742192284</v>
      </c>
      <c r="T44" s="660" t="s">
        <v>44</v>
      </c>
      <c r="U44" s="123">
        <f>AK2</f>
        <v>0.42495479204339964</v>
      </c>
      <c r="V44" s="124">
        <f>AK3</f>
        <v>0.41891891891891891</v>
      </c>
      <c r="W44" s="124">
        <f>AK4</f>
        <v>0.50490883590462832</v>
      </c>
      <c r="X44" s="124">
        <f>AK5</f>
        <v>0.39175257731958762</v>
      </c>
      <c r="Y44" s="124">
        <f>AK6</f>
        <v>0.46362339514978601</v>
      </c>
      <c r="Z44" s="124">
        <f>AK7</f>
        <v>0.38732394366197181</v>
      </c>
      <c r="AA44" s="124">
        <f>AK8</f>
        <v>0.42407660738714092</v>
      </c>
      <c r="AB44" s="124">
        <f>AK9</f>
        <v>0.46439628482972134</v>
      </c>
      <c r="AC44" s="124">
        <f>AK10</f>
        <v>0.32440056417489421</v>
      </c>
      <c r="AD44" s="124">
        <f>AK11</f>
        <v>0.44663382594417078</v>
      </c>
      <c r="AE44" s="124">
        <f>AK12</f>
        <v>0.43270622286541244</v>
      </c>
      <c r="AF44" s="124">
        <f>AK13</f>
        <v>0.31911764705882351</v>
      </c>
      <c r="AG44" s="125">
        <f>AK14</f>
        <v>0.4164420485175202</v>
      </c>
    </row>
    <row r="45" spans="6:33" ht="13" x14ac:dyDescent="0.3">
      <c r="F45" s="659" t="s">
        <v>45</v>
      </c>
      <c r="G45" s="123" cm="1">
        <f t="array" aca="1" ref="G45" ca="1">IF(
   INDEX($H$2:$Z$14, COLUMN(A7), 2*ROW(A7)-1)&gt;0,
   INDEX($H$2:$Z$14, COLUMN(A7), 2*ROW(A7)-1),
   NA()
)</f>
        <v>0.46028880866425992</v>
      </c>
      <c r="H45" s="124" cm="1">
        <f t="array" aca="1" ref="H45" ca="1">IF(
   INDEX($H$2:$Z$14, COLUMN(B7), 2*ROW(B7)-1)&gt;0,
   INDEX($H$2:$Z$14, COLUMN(B7), 2*ROW(B7)-1),
   NA()
)</f>
        <v>0.45945945945945948</v>
      </c>
      <c r="I45" s="124" cm="1">
        <f t="array" aca="1" ref="I45" ca="1">IF(
   INDEX($H$2:$Z$14, COLUMN(C7), 2*ROW(C7)-1)&gt;0,
   INDEX($H$2:$Z$14, COLUMN(C7), 2*ROW(C7)-1),
   NA()
)</f>
        <v>0.51820728291316531</v>
      </c>
      <c r="J45" s="124" cm="1">
        <f t="array" aca="1" ref="J45" ca="1">IF(
   INDEX($H$2:$Z$14, COLUMN(D7), 2*ROW(D7)-1)&gt;0,
   INDEX($H$2:$Z$14, COLUMN(D7), 2*ROW(D7)-1),
   NA()
)</f>
        <v>0.48159057437407954</v>
      </c>
      <c r="K45" s="124" cm="1">
        <f t="array" aca="1" ref="K45" ca="1">IF(
   INDEX($H$2:$Z$14, COLUMN(E7), 2*ROW(E7)-1)&gt;0,
   INDEX($H$2:$Z$14, COLUMN(E7), 2*ROW(E7)-1),
   NA()
)</f>
        <v>0.55634807417974319</v>
      </c>
      <c r="L45" s="124" cm="1">
        <f t="array" aca="1" ref="L45" ca="1">IF(
   INDEX($H$2:$Z$14, COLUMN(F7), 2*ROW(F7)-1)&gt;0,
   INDEX($H$2:$Z$14, COLUMN(F7), 2*ROW(F7)-1),
   NA()
)</f>
        <v>0.45070422535211269</v>
      </c>
      <c r="M45" s="124" cm="1">
        <f t="array" aca="1" ref="M45" ca="1">IF(
   INDEX($H$2:$Z$14, COLUMN(G7), 2*ROW(G7)-1)&gt;0,
   INDEX($H$2:$Z$14, COLUMN(G7), 2*ROW(G7)-1),
   NA()
)</f>
        <v>0.45143638850889195</v>
      </c>
      <c r="N45" s="124" cm="1">
        <f t="array" aca="1" ref="N45" ca="1">IF(
   INDEX($H$2:$Z$14, COLUMN(H7), 2*ROW(H7)-1)&gt;0,
   INDEX($H$2:$Z$14, COLUMN(H7), 2*ROW(H7)-1),
   NA()
)</f>
        <v>0.49147286821705427</v>
      </c>
      <c r="O45" s="124" cm="1">
        <f t="array" aca="1" ref="O45" ca="1">IF(
   INDEX($H$2:$Z$14, COLUMN(I7), 2*ROW(I7)-1)&gt;0,
   INDEX($H$2:$Z$14, COLUMN(I7), 2*ROW(I7)-1),
   NA()
)</f>
        <v>0.37183098591549296</v>
      </c>
      <c r="P45" s="124" cm="1">
        <f t="array" aca="1" ref="P45" ca="1">IF(
   INDEX($H$2:$Z$14, COLUMN(J7), 2*ROW(J7)-1)&gt;0,
   INDEX($H$2:$Z$14, COLUMN(J7), 2*ROW(J7)-1),
   NA()
)</f>
        <v>0.50082101806239743</v>
      </c>
      <c r="Q45" s="124" cm="1">
        <f t="array" aca="1" ref="Q45" ca="1">IF(
   INDEX($H$2:$Z$14, COLUMN(K7), 2*ROW(K7)-1)&gt;0,
   INDEX($H$2:$Z$14, COLUMN(K7), 2*ROW(K7)-1),
   NA()
)</f>
        <v>0.48046309696092621</v>
      </c>
      <c r="R45" s="124" cm="1">
        <f t="array" aca="1" ref="R45" ca="1">IF(
   INDEX($H$2:$Z$14, COLUMN(L7), 2*ROW(L7)-1)&gt;0,
   INDEX($H$2:$Z$14, COLUMN(L7), 2*ROW(L7)-1),
   NA()
)</f>
        <v>0.35095447870778268</v>
      </c>
      <c r="S45" s="125" cm="1">
        <f t="array" aca="1" ref="S45" ca="1">IF(
   INDEX($H$2:$Z$14, COLUMN(M7), 2*ROW(M7)-1)&gt;0,
   INDEX($H$2:$Z$14, COLUMN(M7), 2*ROW(M7)-1),
   NA()
)</f>
        <v>0.4640538885486834</v>
      </c>
      <c r="T45" s="660" t="s">
        <v>45</v>
      </c>
      <c r="U45" s="123">
        <f>AL2</f>
        <v>0.46292947558770342</v>
      </c>
      <c r="V45" s="124">
        <f>AL3</f>
        <v>0.48648648648648651</v>
      </c>
      <c r="W45" s="124">
        <f>AL4</f>
        <v>0.57503506311360453</v>
      </c>
      <c r="X45" s="124">
        <f>AL5</f>
        <v>0.45066273932253315</v>
      </c>
      <c r="Y45" s="124">
        <f>AL6</f>
        <v>0.53495007132667616</v>
      </c>
      <c r="Z45" s="124">
        <f>AL7</f>
        <v>0.42957746478873238</v>
      </c>
      <c r="AA45" s="124">
        <f>AL8</f>
        <v>0.48426812585499318</v>
      </c>
      <c r="AB45" s="124">
        <f>AL9</f>
        <v>0.50309597523219818</v>
      </c>
      <c r="AC45" s="124">
        <f>AL10</f>
        <v>0.38081805359661497</v>
      </c>
      <c r="AD45" s="124">
        <f>AL11</f>
        <v>0.49261083743842365</v>
      </c>
      <c r="AE45" s="124">
        <f>AL12</f>
        <v>0.48046309696092621</v>
      </c>
      <c r="AF45" s="124">
        <f>AL13</f>
        <v>0.36911764705882355</v>
      </c>
      <c r="AG45" s="125">
        <f>AL14</f>
        <v>0.47096299926488605</v>
      </c>
    </row>
    <row r="46" spans="6:33" ht="13" x14ac:dyDescent="0.3">
      <c r="F46" s="659" t="s">
        <v>46</v>
      </c>
      <c r="G46" s="123" cm="1">
        <f t="array" aca="1" ref="G46" ca="1">IF(
   INDEX($H$2:$Z$14, COLUMN(A8), 2*ROW(A8)-1)&gt;0,
   INDEX($H$2:$Z$14, COLUMN(A8), 2*ROW(A8)-1),
   NA()
)</f>
        <v>0.50361010830324915</v>
      </c>
      <c r="H46" s="124" cm="1">
        <f t="array" aca="1" ref="H46" ca="1">IF(
   INDEX($H$2:$Z$14, COLUMN(B8), 2*ROW(B8)-1)&gt;0,
   INDEX($H$2:$Z$14, COLUMN(B8), 2*ROW(B8)-1),
   NA()
)</f>
        <v>0.5</v>
      </c>
      <c r="I46" s="124" cm="1">
        <f t="array" aca="1" ref="I46" ca="1">IF(
   INDEX($H$2:$Z$14, COLUMN(C8), 2*ROW(C8)-1)&gt;0,
   INDEX($H$2:$Z$14, COLUMN(C8), 2*ROW(C8)-1),
   NA()
)</f>
        <v>0.58823529411764708</v>
      </c>
      <c r="J46" s="124" cm="1">
        <f t="array" aca="1" ref="J46" ca="1">IF(
   INDEX($H$2:$Z$14, COLUMN(D8), 2*ROW(D8)-1)&gt;0,
   INDEX($H$2:$Z$14, COLUMN(D8), 2*ROW(D8)-1),
   NA()
)</f>
        <v>0.50662739322533135</v>
      </c>
      <c r="K46" s="124" cm="1">
        <f t="array" aca="1" ref="K46" ca="1">IF(
   INDEX($H$2:$Z$14, COLUMN(E8), 2*ROW(E8)-1)&gt;0,
   INDEX($H$2:$Z$14, COLUMN(E8), 2*ROW(E8)-1),
   NA()
)</f>
        <v>0.59914407988587737</v>
      </c>
      <c r="L46" s="124" cm="1">
        <f t="array" aca="1" ref="L46" ca="1">IF(
   INDEX($H$2:$Z$14, COLUMN(F8), 2*ROW(F8)-1)&gt;0,
   INDEX($H$2:$Z$14, COLUMN(F8), 2*ROW(F8)-1),
   NA()
)</f>
        <v>0.47887323943661969</v>
      </c>
      <c r="M46" s="124" cm="1">
        <f t="array" aca="1" ref="M46" ca="1">IF(
   INDEX($H$2:$Z$14, COLUMN(G8), 2*ROW(G8)-1)&gt;0,
   INDEX($H$2:$Z$14, COLUMN(G8), 2*ROW(G8)-1),
   NA()
)</f>
        <v>0.51299589603283169</v>
      </c>
      <c r="N46" s="124" cm="1">
        <f t="array" aca="1" ref="N46" ca="1">IF(
   INDEX($H$2:$Z$14, COLUMN(H8), 2*ROW(H8)-1)&gt;0,
   INDEX($H$2:$Z$14, COLUMN(H8), 2*ROW(H8)-1),
   NA()
)</f>
        <v>0.51162790697674421</v>
      </c>
      <c r="O46" s="124" cm="1">
        <f t="array" aca="1" ref="O46" ca="1">IF(
   INDEX($H$2:$Z$14, COLUMN(I8), 2*ROW(I8)-1)&gt;0,
   INDEX($H$2:$Z$14, COLUMN(I8), 2*ROW(I8)-1),
   NA()
)</f>
        <v>0.41408450704225352</v>
      </c>
      <c r="P46" s="124" cm="1">
        <f t="array" aca="1" ref="P46" ca="1">IF(
   INDEX($H$2:$Z$14, COLUMN(J8), 2*ROW(J8)-1)&gt;0,
   INDEX($H$2:$Z$14, COLUMN(J8), 2*ROW(J8)-1),
   NA()
)</f>
        <v>0.5336617405582923</v>
      </c>
      <c r="Q46" s="124" cm="1">
        <f t="array" aca="1" ref="Q46" ca="1">IF(
   INDEX($H$2:$Z$14, COLUMN(K8), 2*ROW(K8)-1)&gt;0,
   INDEX($H$2:$Z$14, COLUMN(K8), 2*ROW(K8)-1),
   NA()
)</f>
        <v>0.52532561505065123</v>
      </c>
      <c r="R46" s="124" cm="1">
        <f t="array" aca="1" ref="R46" ca="1">IF(
   INDEX($H$2:$Z$14, COLUMN(L8), 2*ROW(L8)-1)&gt;0,
   INDEX($H$2:$Z$14, COLUMN(L8), 2*ROW(L8)-1),
   NA()
)</f>
        <v>0.38179148311306904</v>
      </c>
      <c r="S46" s="125" cm="1">
        <f t="array" aca="1" ref="S46" ca="1">IF(
   INDEX($H$2:$Z$14, COLUMN(M8), 2*ROW(M8)-1)&gt;0,
   INDEX($H$2:$Z$14, COLUMN(M8), 2*ROW(M8)-1),
   NA()
)</f>
        <v>0.5045927740355175</v>
      </c>
      <c r="T46" s="660" t="s">
        <v>46</v>
      </c>
      <c r="U46" s="123">
        <f>AM2</f>
        <v>0.50994575045207957</v>
      </c>
      <c r="V46" s="124">
        <f>AM3</f>
        <v>0.52702702702702697</v>
      </c>
      <c r="W46" s="124">
        <f>AM4</f>
        <v>0.61711079943899017</v>
      </c>
      <c r="X46" s="124">
        <f>AM5</f>
        <v>0.49484536082474229</v>
      </c>
      <c r="Y46" s="124">
        <f>AM6</f>
        <v>0.59914407988587737</v>
      </c>
      <c r="Z46" s="124">
        <f>AM7</f>
        <v>0.47323943661971829</v>
      </c>
      <c r="AA46" s="124">
        <f>AM8</f>
        <v>0.54993160054719559</v>
      </c>
      <c r="AB46" s="124">
        <f>AM9</f>
        <v>0.54179566563467496</v>
      </c>
      <c r="AC46" s="124">
        <f>AM10</f>
        <v>0.4132581100141044</v>
      </c>
      <c r="AD46" s="124">
        <f>AM11</f>
        <v>0.54187192118226601</v>
      </c>
      <c r="AE46" s="124">
        <f>AM12</f>
        <v>0.55282199710564395</v>
      </c>
      <c r="AF46" s="124">
        <f>AM13</f>
        <v>0.42205882352941176</v>
      </c>
      <c r="AG46" s="125">
        <f>AM14</f>
        <v>0.5204606714040676</v>
      </c>
    </row>
    <row r="47" spans="6:33" ht="13" x14ac:dyDescent="0.3">
      <c r="F47" s="659" t="s">
        <v>47</v>
      </c>
      <c r="G47" s="123" cm="1">
        <f t="array" aca="1" ref="G47" ca="1">IF(
   INDEX($H$2:$Z$14, COLUMN(A9), 2*ROW(A9)-1)&gt;0,
   INDEX($H$2:$Z$14, COLUMN(A9), 2*ROW(A9)-1),
   NA()
)</f>
        <v>0.54512635379061369</v>
      </c>
      <c r="H47" s="124" cm="1">
        <f t="array" aca="1" ref="H47" ca="1">IF(
   INDEX($H$2:$Z$14, COLUMN(B9), 2*ROW(B9)-1)&gt;0,
   INDEX($H$2:$Z$14, COLUMN(B9), 2*ROW(B9)-1),
   NA()
)</f>
        <v>0.54324324324324325</v>
      </c>
      <c r="I47" s="124" cm="1">
        <f t="array" aca="1" ref="I47" ca="1">IF(
   INDEX($H$2:$Z$14, COLUMN(C9), 2*ROW(C9)-1)&gt;0,
   INDEX($H$2:$Z$14, COLUMN(C9), 2*ROW(C9)-1),
   NA()
)</f>
        <v>0.64425770308123254</v>
      </c>
      <c r="J47" s="124" cm="1">
        <f t="array" aca="1" ref="J47" ca="1">IF(
   INDEX($H$2:$Z$14, COLUMN(D9), 2*ROW(D9)-1)&gt;0,
   INDEX($H$2:$Z$14, COLUMN(D9), 2*ROW(D9)-1),
   NA()
)</f>
        <v>0.540500736377025</v>
      </c>
      <c r="K47" s="124" cm="1">
        <f t="array" aca="1" ref="K47" ca="1">IF(
   INDEX($H$2:$Z$14, COLUMN(E9), 2*ROW(E9)-1)&gt;0,
   INDEX($H$2:$Z$14, COLUMN(E9), 2*ROW(E9)-1),
   NA()
)</f>
        <v>0.63766048502139805</v>
      </c>
      <c r="L47" s="124" cm="1">
        <f t="array" aca="1" ref="L47" ca="1">IF(
   INDEX($H$2:$Z$14, COLUMN(F9), 2*ROW(F9)-1)&gt;0,
   INDEX($H$2:$Z$14, COLUMN(F9), 2*ROW(F9)-1),
   NA()
)</f>
        <v>0.50985915492957745</v>
      </c>
      <c r="M47" s="124" cm="1">
        <f t="array" aca="1" ref="M47" ca="1">IF(
   INDEX($H$2:$Z$14, COLUMN(G9), 2*ROW(G9)-1)&gt;0,
   INDEX($H$2:$Z$14, COLUMN(G9), 2*ROW(G9)-1),
   NA()
)</f>
        <v>0.560875512995896</v>
      </c>
      <c r="N47" s="124" cm="1">
        <f t="array" aca="1" ref="N47" ca="1">IF(
   INDEX($H$2:$Z$14, COLUMN(H9), 2*ROW(H9)-1)&gt;0,
   INDEX($H$2:$Z$14, COLUMN(H9), 2*ROW(H9)-1),
   NA()
)</f>
        <v>0.55193798449612408</v>
      </c>
      <c r="O47" s="124" cm="1">
        <f t="array" aca="1" ref="O47" ca="1">IF(
   INDEX($H$2:$Z$14, COLUMN(I9), 2*ROW(I9)-1)&gt;0,
   INDEX($H$2:$Z$14, COLUMN(I9), 2*ROW(I9)-1),
   NA()
)</f>
        <v>0.45070422535211269</v>
      </c>
      <c r="P47" s="124" cm="1">
        <f t="array" aca="1" ref="P47" ca="1">IF(
   INDEX($H$2:$Z$14, COLUMN(J9), 2*ROW(J9)-1)&gt;0,
   INDEX($H$2:$Z$14, COLUMN(J9), 2*ROW(J9)-1),
   NA()
)</f>
        <v>0.56650246305418717</v>
      </c>
      <c r="Q47" s="124" cm="1">
        <f t="array" aca="1" ref="Q47" ca="1">IF(
   INDEX($H$2:$Z$14, COLUMN(K9), 2*ROW(K9)-1)&gt;0,
   INDEX($H$2:$Z$14, COLUMN(K9), 2*ROW(K9)-1),
   NA()
)</f>
        <v>0.56005788712011573</v>
      </c>
      <c r="R47" s="124" cm="1">
        <f t="array" aca="1" ref="R47" ca="1">IF(
   INDEX($H$2:$Z$14, COLUMN(L9), 2*ROW(L9)-1)&gt;0,
   INDEX($H$2:$Z$14, COLUMN(L9), 2*ROW(L9)-1),
   NA()
)</f>
        <v>0.42143906020558003</v>
      </c>
      <c r="S47" s="125" cm="1">
        <f t="array" aca="1" ref="S47" ca="1">IF(
   INDEX($H$2:$Z$14, COLUMN(M9), 2*ROW(M9)-1)&gt;0,
   INDEX($H$2:$Z$14, COLUMN(M9), 2*ROW(M9)-1),
   NA()
)</f>
        <v>0.54439681567666875</v>
      </c>
      <c r="T47" s="660" t="s">
        <v>47</v>
      </c>
      <c r="U47" s="123">
        <f>AN2</f>
        <v>0.54792043399638335</v>
      </c>
      <c r="V47" s="124">
        <f>AN3</f>
        <v>0.56081081081081086</v>
      </c>
      <c r="W47" s="124">
        <f>AN4</f>
        <v>0.65918653576437591</v>
      </c>
      <c r="X47" s="124">
        <f>AN5</f>
        <v>0.51693667157584688</v>
      </c>
      <c r="Y47" s="124">
        <f>AN6</f>
        <v>0.6205420827389444</v>
      </c>
      <c r="Z47" s="124">
        <f>AN7</f>
        <v>0.5</v>
      </c>
      <c r="AA47" s="124">
        <f>AN8</f>
        <v>0.57455540355677159</v>
      </c>
      <c r="AB47" s="124">
        <f>AN9</f>
        <v>0.55882352941176472</v>
      </c>
      <c r="AC47" s="124">
        <f>AN10</f>
        <v>0.4400564174894217</v>
      </c>
      <c r="AD47" s="124">
        <f>AN11</f>
        <v>0.56486042692939242</v>
      </c>
      <c r="AE47" s="124">
        <f>AN12</f>
        <v>0.57597684515195369</v>
      </c>
      <c r="AF47" s="124">
        <f>AN13</f>
        <v>0.47205882352941175</v>
      </c>
      <c r="AG47" s="125">
        <f>AN14</f>
        <v>0.54949767213918155</v>
      </c>
    </row>
    <row r="48" spans="6:33" ht="13" x14ac:dyDescent="0.3">
      <c r="F48" s="659" t="s">
        <v>48</v>
      </c>
      <c r="G48" s="123" cm="1">
        <f t="array" aca="1" ref="G48" ca="1">IF(
   INDEX($H$2:$Z$14, COLUMN(A10), 2*ROW(A10)-1)&gt;0,
   INDEX($H$2:$Z$14, COLUMN(A10), 2*ROW(A10)-1),
   NA()
)</f>
        <v>0.5703971119133574</v>
      </c>
      <c r="H48" s="124" cm="1">
        <f t="array" aca="1" ref="H48" ca="1">IF(
   INDEX($H$2:$Z$14, COLUMN(B10), 2*ROW(B10)-1)&gt;0,
   INDEX($H$2:$Z$14, COLUMN(B10), 2*ROW(B10)-1),
   NA()
)</f>
        <v>0.58513513513513515</v>
      </c>
      <c r="I48" s="124" cm="1">
        <f t="array" aca="1" ref="I48" ca="1">IF(
   INDEX($H$2:$Z$14, COLUMN(C10), 2*ROW(C10)-1)&gt;0,
   INDEX($H$2:$Z$14, COLUMN(C10), 2*ROW(C10)-1),
   NA()
)</f>
        <v>0.67226890756302526</v>
      </c>
      <c r="J48" s="124" cm="1">
        <f t="array" aca="1" ref="J48" ca="1">IF(
   INDEX($H$2:$Z$14, COLUMN(D10), 2*ROW(D10)-1)&gt;0,
   INDEX($H$2:$Z$14, COLUMN(D10), 2*ROW(D10)-1),
   NA()
)</f>
        <v>0.5625920471281296</v>
      </c>
      <c r="K48" s="124" cm="1">
        <f t="array" aca="1" ref="K48" ca="1">IF(
   INDEX($H$2:$Z$14, COLUMN(E10), 2*ROW(E10)-1)&gt;0,
   INDEX($H$2:$Z$14, COLUMN(E10), 2*ROW(E10)-1),
   NA()
)</f>
        <v>0.67760342368045645</v>
      </c>
      <c r="L48" s="124" cm="1">
        <f t="array" aca="1" ref="L48" ca="1">IF(
   INDEX($H$2:$Z$14, COLUMN(F10), 2*ROW(F10)-1)&gt;0,
   INDEX($H$2:$Z$14, COLUMN(F10), 2*ROW(F10)-1),
   NA()
)</f>
        <v>0.53521126760563376</v>
      </c>
      <c r="M48" s="124" cm="1">
        <f t="array" aca="1" ref="M48" ca="1">IF(
   INDEX($H$2:$Z$14, COLUMN(G10), 2*ROW(G10)-1)&gt;0,
   INDEX($H$2:$Z$14, COLUMN(G10), 2*ROW(G10)-1),
   NA()
)</f>
        <v>0.58823529411764708</v>
      </c>
      <c r="N48" s="124" cm="1">
        <f t="array" aca="1" ref="N48" ca="1">IF(
   INDEX($H$2:$Z$14, COLUMN(H10), 2*ROW(H10)-1)&gt;0,
   INDEX($H$2:$Z$14, COLUMN(H10), 2*ROW(H10)-1),
   NA()
)</f>
        <v>0.5612403100775194</v>
      </c>
      <c r="O48" s="124" cm="1">
        <f t="array" aca="1" ref="O48" ca="1">IF(
   INDEX($H$2:$Z$14, COLUMN(I10), 2*ROW(I10)-1)&gt;0,
   INDEX($H$2:$Z$14, COLUMN(I10), 2*ROW(I10)-1),
   NA()
)</f>
        <v>0.46619718309859154</v>
      </c>
      <c r="P48" s="124" cm="1">
        <f t="array" aca="1" ref="P48" ca="1">IF(
   INDEX($H$2:$Z$14, COLUMN(J10), 2*ROW(J10)-1)&gt;0,
   INDEX($H$2:$Z$14, COLUMN(J10), 2*ROW(J10)-1),
   NA()
)</f>
        <v>0.58620689655172409</v>
      </c>
      <c r="Q48" s="124" cm="1">
        <f t="array" aca="1" ref="Q48" ca="1">IF(
   INDEX($H$2:$Z$14, COLUMN(K10), 2*ROW(K10)-1)&gt;0,
   INDEX($H$2:$Z$14, COLUMN(K10), 2*ROW(K10)-1),
   NA()
)</f>
        <v>0.58610709117221416</v>
      </c>
      <c r="R48" s="124" cm="1">
        <f t="array" aca="1" ref="R48" ca="1">IF(
   INDEX($H$2:$Z$14, COLUMN(L10), 2*ROW(L10)-1)&gt;0,
   INDEX($H$2:$Z$14, COLUMN(L10), 2*ROW(L10)-1),
   NA()
)</f>
        <v>0.44052863436123346</v>
      </c>
      <c r="S48" s="125" cm="1">
        <f t="array" aca="1" ref="S48" ca="1">IF(
   INDEX($H$2:$Z$14, COLUMN(M10), 2*ROW(M10)-1)&gt;0,
   INDEX($H$2:$Z$14, COLUMN(M10), 2*ROW(M10)-1),
   NA()
)</f>
        <v>0.56962645437844461</v>
      </c>
      <c r="T48" s="660" t="s">
        <v>48</v>
      </c>
      <c r="U48" s="123">
        <f>AO2</f>
        <v>0.58408679927667273</v>
      </c>
      <c r="V48" s="124">
        <f>AO3</f>
        <v>0.59864864864864864</v>
      </c>
      <c r="W48" s="124">
        <f>AO4</f>
        <v>0.67882187938288918</v>
      </c>
      <c r="X48" s="124">
        <f>AO5</f>
        <v>0.53460972017673047</v>
      </c>
      <c r="Y48" s="124">
        <f>AO6</f>
        <v>0.64479315263908699</v>
      </c>
      <c r="Z48" s="124">
        <f>AO7</f>
        <v>0.5169014084507042</v>
      </c>
      <c r="AA48" s="124">
        <f>AO8</f>
        <v>0.60054719562243497</v>
      </c>
      <c r="AB48" s="124">
        <f>AO9</f>
        <v>0.58668730650154799</v>
      </c>
      <c r="AC48" s="124">
        <f>AO10</f>
        <v>0.4696755994358251</v>
      </c>
      <c r="AD48" s="124">
        <f>AO11</f>
        <v>0.58620689655172409</v>
      </c>
      <c r="AE48" s="124">
        <f>AO12</f>
        <v>0.60202604920405212</v>
      </c>
      <c r="AF48" s="124">
        <f>AO13</f>
        <v>0.47941176470588237</v>
      </c>
      <c r="AG48" s="125">
        <f>AO14</f>
        <v>0.57363391325655477</v>
      </c>
    </row>
    <row r="49" spans="6:33" ht="13" x14ac:dyDescent="0.3">
      <c r="F49" s="126" t="s">
        <v>49</v>
      </c>
      <c r="G49" s="127" t="e" cm="1">
        <f t="array" ref="G49">IF(
   INDEX($H$2:$Z$14, COLUMN(A11), 2*ROW(A11)-1)&gt;0,
   INDEX($H$2:$Z$14, COLUMN(A11), 2*ROW(A11)-1),
   NA()
)</f>
        <v>#REF!</v>
      </c>
      <c r="H49" s="128" t="e" cm="1">
        <f t="array" ref="H49">IF(
   INDEX($H$2:$Z$14, COLUMN(B11), 2*ROW(B11)-1)&gt;0,
   INDEX($H$2:$Z$14, COLUMN(B11), 2*ROW(B11)-1),
   NA()
)</f>
        <v>#REF!</v>
      </c>
      <c r="I49" s="128" t="e" cm="1">
        <f t="array" ref="I49">IF(
   INDEX($H$2:$Z$14, COLUMN(C11), 2*ROW(C11)-1)&gt;0,
   INDEX($H$2:$Z$14, COLUMN(C11), 2*ROW(C11)-1),
   NA()
)</f>
        <v>#REF!</v>
      </c>
      <c r="J49" s="128" t="e" cm="1">
        <f t="array" ref="J49">IF(
   INDEX($H$2:$Z$14, COLUMN(D11), 2*ROW(D11)-1)&gt;0,
   INDEX($H$2:$Z$14, COLUMN(D11), 2*ROW(D11)-1),
   NA()
)</f>
        <v>#REF!</v>
      </c>
      <c r="K49" s="128" t="e" cm="1">
        <f t="array" ref="K49">IF(
   INDEX($H$2:$Z$14, COLUMN(E11), 2*ROW(E11)-1)&gt;0,
   INDEX($H$2:$Z$14, COLUMN(E11), 2*ROW(E11)-1),
   NA()
)</f>
        <v>#REF!</v>
      </c>
      <c r="L49" s="128" t="e" cm="1">
        <f t="array" ref="L49">IF(
   INDEX($H$2:$Z$14, COLUMN(F11), 2*ROW(F11)-1)&gt;0,
   INDEX($H$2:$Z$14, COLUMN(F11), 2*ROW(F11)-1),
   NA()
)</f>
        <v>#REF!</v>
      </c>
      <c r="M49" s="128" t="e" cm="1">
        <f t="array" ref="M49">IF(
   INDEX($H$2:$Z$14, COLUMN(G11), 2*ROW(G11)-1)&gt;0,
   INDEX($H$2:$Z$14, COLUMN(G11), 2*ROW(G11)-1),
   NA()
)</f>
        <v>#REF!</v>
      </c>
      <c r="N49" s="128" t="e" cm="1">
        <f t="array" ref="N49">IF(
   INDEX($H$2:$Z$14, COLUMN(H11), 2*ROW(H11)-1)&gt;0,
   INDEX($H$2:$Z$14, COLUMN(H11), 2*ROW(H11)-1),
   NA()
)</f>
        <v>#REF!</v>
      </c>
      <c r="O49" s="128" t="e" cm="1">
        <f t="array" ref="O49">IF(
   INDEX($H$2:$Z$14, COLUMN(I11), 2*ROW(I11)-1)&gt;0,
   INDEX($H$2:$Z$14, COLUMN(I11), 2*ROW(I11)-1),
   NA()
)</f>
        <v>#REF!</v>
      </c>
      <c r="P49" s="128" t="e" cm="1">
        <f t="array" ref="P49">IF(
   INDEX($H$2:$Z$14, COLUMN(J11), 2*ROW(J11)-1)&gt;0,
   INDEX($H$2:$Z$14, COLUMN(J11), 2*ROW(J11)-1),
   NA()
)</f>
        <v>#REF!</v>
      </c>
      <c r="Q49" s="128" t="e" cm="1">
        <f t="array" ref="Q49">IF(
   INDEX($H$2:$Z$14, COLUMN(K11), 2*ROW(K11)-1)&gt;0,
   INDEX($H$2:$Z$14, COLUMN(K11), 2*ROW(K11)-1),
   NA()
)</f>
        <v>#REF!</v>
      </c>
      <c r="R49" s="128" t="e" cm="1">
        <f t="array" ref="R49">IF(
   INDEX($H$2:$Z$14, COLUMN(L11), 2*ROW(L11)-1)&gt;0,
   INDEX($H$2:$Z$14, COLUMN(L11), 2*ROW(L11)-1),
   NA()
)</f>
        <v>#REF!</v>
      </c>
      <c r="S49" s="222" t="e" cm="1">
        <f t="array" ref="S49">IF(
   INDEX($H$2:$Z$14, COLUMN(M11), 2*ROW(M11)-1)&gt;0,
   INDEX($H$2:$Z$14, COLUMN(M11), 2*ROW(M11)-1),
   NA()
)</f>
        <v>#REF!</v>
      </c>
      <c r="T49" s="130" t="s">
        <v>49</v>
      </c>
      <c r="U49" s="127">
        <f>AP2</f>
        <v>0</v>
      </c>
      <c r="V49" s="128">
        <f>AP3</f>
        <v>0</v>
      </c>
      <c r="W49" s="128">
        <f>AP4</f>
        <v>0</v>
      </c>
      <c r="X49" s="128">
        <f>AP5</f>
        <v>0</v>
      </c>
      <c r="Y49" s="128">
        <f>AP6</f>
        <v>0</v>
      </c>
      <c r="Z49" s="128">
        <f>AP7</f>
        <v>0</v>
      </c>
      <c r="AA49" s="128">
        <f>AP8</f>
        <v>0</v>
      </c>
      <c r="AB49" s="128">
        <f>AP9</f>
        <v>0</v>
      </c>
      <c r="AC49" s="128">
        <f>AP10</f>
        <v>0</v>
      </c>
      <c r="AD49" s="128">
        <f>AP11</f>
        <v>0</v>
      </c>
      <c r="AE49" s="128">
        <f>AP12</f>
        <v>0</v>
      </c>
      <c r="AF49" s="128">
        <f>AP13</f>
        <v>0</v>
      </c>
      <c r="AG49" s="129">
        <f>AP14</f>
        <v>0</v>
      </c>
    </row>
    <row r="50" spans="6:33" ht="13.5" thickBot="1" x14ac:dyDescent="0.35">
      <c r="F50" s="131" t="s">
        <v>50</v>
      </c>
      <c r="G50" s="132" t="e" cm="1">
        <f t="array" ref="G50">IF(
   INDEX($H$2:$Z$14, COLUMN(A12), 2*ROW(A12)-1)&gt;0,
   INDEX($H$2:$Z$14, COLUMN(A12), 2*ROW(A12)-1),
   NA()
)</f>
        <v>#REF!</v>
      </c>
      <c r="H50" s="133" t="e" cm="1">
        <f t="array" ref="H50">IF(
   INDEX($H$2:$Z$14, COLUMN(B12), 2*ROW(B12)-1)&gt;0,
   INDEX($H$2:$Z$14, COLUMN(B12), 2*ROW(B12)-1),
   NA()
)</f>
        <v>#REF!</v>
      </c>
      <c r="I50" s="133" t="e" cm="1">
        <f t="array" ref="I50">IF(
   INDEX($H$2:$Z$14, COLUMN(C12), 2*ROW(C12)-1)&gt;0,
   INDEX($H$2:$Z$14, COLUMN(C12), 2*ROW(C12)-1),
   NA()
)</f>
        <v>#REF!</v>
      </c>
      <c r="J50" s="133" t="e" cm="1">
        <f t="array" ref="J50">IF(
   INDEX($H$2:$Z$14, COLUMN(D12), 2*ROW(D12)-1)&gt;0,
   INDEX($H$2:$Z$14, COLUMN(D12), 2*ROW(D12)-1),
   NA()
)</f>
        <v>#REF!</v>
      </c>
      <c r="K50" s="133" t="e" cm="1">
        <f t="array" ref="K50">IF(
   INDEX($H$2:$Z$14, COLUMN(E12), 2*ROW(E12)-1)&gt;0,
   INDEX($H$2:$Z$14, COLUMN(E12), 2*ROW(E12)-1),
   NA()
)</f>
        <v>#REF!</v>
      </c>
      <c r="L50" s="133" t="e" cm="1">
        <f t="array" ref="L50">IF(
   INDEX($H$2:$Z$14, COLUMN(F12), 2*ROW(F12)-1)&gt;0,
   INDEX($H$2:$Z$14, COLUMN(F12), 2*ROW(F12)-1),
   NA()
)</f>
        <v>#REF!</v>
      </c>
      <c r="M50" s="133" t="e" cm="1">
        <f t="array" ref="M50">IF(
   INDEX($H$2:$Z$14, COLUMN(G12), 2*ROW(G12)-1)&gt;0,
   INDEX($H$2:$Z$14, COLUMN(G12), 2*ROW(G12)-1),
   NA()
)</f>
        <v>#REF!</v>
      </c>
      <c r="N50" s="133" t="e" cm="1">
        <f t="array" ref="N50">IF(
   INDEX($H$2:$Z$14, COLUMN(H12), 2*ROW(H12)-1)&gt;0,
   INDEX($H$2:$Z$14, COLUMN(H12), 2*ROW(H12)-1),
   NA()
)</f>
        <v>#REF!</v>
      </c>
      <c r="O50" s="133" t="e" cm="1">
        <f t="array" ref="O50">IF(
   INDEX($H$2:$Z$14, COLUMN(I12), 2*ROW(I12)-1)&gt;0,
   INDEX($H$2:$Z$14, COLUMN(I12), 2*ROW(I12)-1),
   NA()
)</f>
        <v>#REF!</v>
      </c>
      <c r="P50" s="133" t="e" cm="1">
        <f t="array" ref="P50">IF(
   INDEX($H$2:$Z$14, COLUMN(J12), 2*ROW(J12)-1)&gt;0,
   INDEX($H$2:$Z$14, COLUMN(J12), 2*ROW(J12)-1),
   NA()
)</f>
        <v>#REF!</v>
      </c>
      <c r="Q50" s="133" t="e" cm="1">
        <f t="array" ref="Q50">IF(
   INDEX($H$2:$Z$14, COLUMN(K12), 2*ROW(K12)-1)&gt;0,
   INDEX($H$2:$Z$14, COLUMN(K12), 2*ROW(K12)-1),
   NA()
)</f>
        <v>#REF!</v>
      </c>
      <c r="R50" s="133" t="e" cm="1">
        <f t="array" ref="R50">IF(
   INDEX($H$2:$Z$14, COLUMN(L12), 2*ROW(L12)-1)&gt;0,
   INDEX($H$2:$Z$14, COLUMN(L12), 2*ROW(L12)-1),
   NA()
)</f>
        <v>#REF!</v>
      </c>
      <c r="S50" s="222" t="e" cm="1">
        <f t="array" ref="S50">IF(
   INDEX($H$2:$Z$14, COLUMN(M12), 2*ROW(M12)-1)&gt;0,
   INDEX($H$2:$Z$14, COLUMN(M12), 2*ROW(M12)-1),
   NA()
)</f>
        <v>#REF!</v>
      </c>
      <c r="T50" s="135" t="s">
        <v>50</v>
      </c>
      <c r="U50" s="132">
        <f>AQ2</f>
        <v>0</v>
      </c>
      <c r="V50" s="133">
        <f>AQ3</f>
        <v>0</v>
      </c>
      <c r="W50" s="133">
        <f>AQ4</f>
        <v>0</v>
      </c>
      <c r="X50" s="133">
        <f>AQ5</f>
        <v>0</v>
      </c>
      <c r="Y50" s="133">
        <f>AQ6</f>
        <v>0</v>
      </c>
      <c r="Z50" s="133">
        <f>AQ7</f>
        <v>0</v>
      </c>
      <c r="AA50" s="133">
        <f>AQ8</f>
        <v>0</v>
      </c>
      <c r="AB50" s="133">
        <f>AQ9</f>
        <v>0</v>
      </c>
      <c r="AC50" s="133">
        <f>AQ10</f>
        <v>0</v>
      </c>
      <c r="AD50" s="133">
        <f>AQ11</f>
        <v>0</v>
      </c>
      <c r="AE50" s="133">
        <f>AQ12</f>
        <v>0</v>
      </c>
      <c r="AF50" s="133">
        <f>AQ13</f>
        <v>0</v>
      </c>
      <c r="AG50" s="134">
        <f>AQ14</f>
        <v>0</v>
      </c>
    </row>
    <row r="51" spans="6:33" ht="15.75" customHeight="1" thickBot="1" x14ac:dyDescent="0.3"/>
    <row r="52" spans="6:33" ht="15.75" customHeight="1" thickBot="1" x14ac:dyDescent="0.35">
      <c r="F52" s="100"/>
      <c r="G52" s="705" t="s">
        <v>56</v>
      </c>
      <c r="H52" s="706"/>
      <c r="I52" s="706"/>
      <c r="J52" s="706"/>
      <c r="K52" s="706"/>
      <c r="L52" s="706"/>
      <c r="M52" s="706"/>
      <c r="N52" s="706"/>
      <c r="O52" s="706"/>
      <c r="P52" s="706"/>
      <c r="Q52" s="706"/>
      <c r="R52" s="706"/>
      <c r="S52" s="708"/>
      <c r="U52" s="705" t="s">
        <v>57</v>
      </c>
      <c r="V52" s="706"/>
      <c r="W52" s="706"/>
      <c r="X52" s="706"/>
      <c r="Y52" s="706"/>
      <c r="Z52" s="706"/>
      <c r="AA52" s="706"/>
      <c r="AB52" s="706"/>
      <c r="AC52" s="706"/>
      <c r="AD52" s="706"/>
      <c r="AE52" s="706"/>
      <c r="AF52" s="706"/>
      <c r="AG52" s="706"/>
    </row>
    <row r="53" spans="6:33" ht="15.75" customHeight="1" thickBot="1" x14ac:dyDescent="0.35">
      <c r="F53" s="268" t="s">
        <v>58</v>
      </c>
      <c r="G53" s="283" t="s">
        <v>59</v>
      </c>
      <c r="H53" s="284" t="s">
        <v>60</v>
      </c>
      <c r="I53" s="285" t="s">
        <v>61</v>
      </c>
      <c r="J53" s="286" t="s">
        <v>62</v>
      </c>
      <c r="K53" s="287" t="s">
        <v>63</v>
      </c>
      <c r="L53" s="288" t="s">
        <v>64</v>
      </c>
      <c r="M53" s="289" t="s">
        <v>65</v>
      </c>
      <c r="N53" s="284" t="s">
        <v>66</v>
      </c>
      <c r="O53" s="285" t="s">
        <v>67</v>
      </c>
      <c r="P53" s="286" t="s">
        <v>68</v>
      </c>
      <c r="Q53" s="287" t="s">
        <v>69</v>
      </c>
      <c r="R53" s="288" t="s">
        <v>70</v>
      </c>
      <c r="S53" s="290" t="s">
        <v>51</v>
      </c>
      <c r="T53" s="268" t="s">
        <v>58</v>
      </c>
      <c r="U53" s="283" t="s">
        <v>59</v>
      </c>
      <c r="V53" s="284" t="s">
        <v>60</v>
      </c>
      <c r="W53" s="285" t="s">
        <v>61</v>
      </c>
      <c r="X53" s="286" t="s">
        <v>62</v>
      </c>
      <c r="Y53" s="287" t="s">
        <v>63</v>
      </c>
      <c r="Z53" s="288" t="s">
        <v>64</v>
      </c>
      <c r="AA53" s="289" t="s">
        <v>65</v>
      </c>
      <c r="AB53" s="284" t="s">
        <v>66</v>
      </c>
      <c r="AC53" s="285" t="s">
        <v>67</v>
      </c>
      <c r="AD53" s="286" t="s">
        <v>68</v>
      </c>
      <c r="AE53" s="287" t="s">
        <v>69</v>
      </c>
      <c r="AF53" s="288" t="s">
        <v>70</v>
      </c>
      <c r="AG53" s="290" t="s">
        <v>51</v>
      </c>
    </row>
    <row r="54" spans="6:33" ht="15.75" customHeight="1" x14ac:dyDescent="0.25">
      <c r="F54" s="274" t="s">
        <v>72</v>
      </c>
      <c r="G54" s="278">
        <f ca="1">INDIRECT("'Bureau 1'!" &amp; ADDRESS(ROW()-50,Synthèse!$G$40+14,4))</f>
        <v>33</v>
      </c>
      <c r="H54" s="279">
        <f ca="1">INDIRECT("'Bureau 2'!" &amp; ADDRESS(ROW()-50,Synthèse!$G$40+14,4))</f>
        <v>50</v>
      </c>
      <c r="I54" s="280">
        <f ca="1">INDIRECT("'Bureau 3'!" &amp; ADDRESS(ROW()-50,Synthèse!$G$40+14,4))</f>
        <v>50</v>
      </c>
      <c r="J54" s="280">
        <f ca="1">INDIRECT("'Bureau 4'!" &amp; ADDRESS(ROW()-50,Synthèse!$G$40+14,4))</f>
        <v>44</v>
      </c>
      <c r="K54" s="280">
        <f ca="1">INDIRECT("'Bureau 5'!" &amp; ADDRESS(ROW()-50,Synthèse!$G$40+14,4))</f>
        <v>45</v>
      </c>
      <c r="L54" s="280">
        <f ca="1">INDIRECT("'Bureau 6'!" &amp; ADDRESS(ROW()-50,Synthèse!$G$40+14,4))</f>
        <v>48</v>
      </c>
      <c r="M54" s="280">
        <f ca="1">INDIRECT("'Bureau 7'!" &amp; ADDRESS(ROW()-50,Synthèse!$G$40+14,4))</f>
        <v>30</v>
      </c>
      <c r="N54" s="280">
        <f ca="1">INDIRECT("'Bureau 8'!" &amp; ADDRESS(ROW()-50,Synthèse!$G$40+14,4))</f>
        <v>40</v>
      </c>
      <c r="O54" s="280">
        <f ca="1">INDIRECT("'Bureau 9'!" &amp; ADDRESS(ROW()-50,Synthèse!$G$40+14,4))</f>
        <v>35</v>
      </c>
      <c r="P54" s="280">
        <f ca="1">INDIRECT("'Bureau 10'!" &amp; ADDRESS(ROW()-50,Synthèse!$G$40+14,4))</f>
        <v>30</v>
      </c>
      <c r="Q54" s="280">
        <f ca="1">INDIRECT("'Bureau 11'!" &amp; ADDRESS(ROW()-50,Synthèse!$G$40+14,4))</f>
        <v>43</v>
      </c>
      <c r="R54" s="280">
        <f ca="1">INDIRECT("'Bureau 12'!" &amp; ADDRESS(ROW()-50,Synthèse!$G$40+14,4))</f>
        <v>10</v>
      </c>
      <c r="S54" s="281">
        <f ca="1">SUMIF(G54:R54, "&lt;&gt;#N/A")</f>
        <v>458</v>
      </c>
      <c r="T54" s="274" t="s">
        <v>72</v>
      </c>
      <c r="U54" s="278">
        <v>33</v>
      </c>
      <c r="V54" s="279">
        <v>45</v>
      </c>
      <c r="W54" s="280">
        <v>40</v>
      </c>
      <c r="X54" s="280">
        <v>33</v>
      </c>
      <c r="Y54" s="280">
        <v>37</v>
      </c>
      <c r="Z54" s="280">
        <v>30</v>
      </c>
      <c r="AA54" s="280">
        <v>20</v>
      </c>
      <c r="AB54" s="280">
        <v>36</v>
      </c>
      <c r="AC54" s="280">
        <v>22</v>
      </c>
      <c r="AD54" s="280">
        <v>27</v>
      </c>
      <c r="AE54" s="280">
        <v>47</v>
      </c>
      <c r="AF54" s="280">
        <v>24</v>
      </c>
      <c r="AG54" s="281">
        <v>394</v>
      </c>
    </row>
    <row r="55" spans="6:33" ht="15.75" customHeight="1" x14ac:dyDescent="0.25">
      <c r="F55" s="275" t="s">
        <v>73</v>
      </c>
      <c r="G55" s="269">
        <f ca="1">INDIRECT("'Bureau 1'!" &amp; ADDRESS(ROW()-50,Synthèse!$G$40+14,4))</f>
        <v>39</v>
      </c>
      <c r="H55" s="277">
        <f ca="1">INDIRECT("'Bureau 2'!" &amp; ADDRESS(ROW()-50,Synthèse!$G$40+14,4))</f>
        <v>40</v>
      </c>
      <c r="I55" s="211">
        <f ca="1">INDIRECT("'Bureau 3'!" &amp; ADDRESS(ROW()-50,Synthèse!$G$40+14,4))</f>
        <v>50</v>
      </c>
      <c r="J55" s="211">
        <f ca="1">INDIRECT("'Bureau 4'!" &amp; ADDRESS(ROW()-50,Synthèse!$G$40+14,4))</f>
        <v>66</v>
      </c>
      <c r="K55" s="211">
        <f ca="1">INDIRECT("'Bureau 5'!" &amp; ADDRESS(ROW()-50,Synthèse!$G$40+14,4))</f>
        <v>65</v>
      </c>
      <c r="L55" s="211">
        <f ca="1">INDIRECT("'Bureau 6'!" &amp; ADDRESS(ROW()-50,Synthèse!$G$40+14,4))</f>
        <v>52</v>
      </c>
      <c r="M55" s="211">
        <f ca="1">INDIRECT("'Bureau 7'!" &amp; ADDRESS(ROW()-50,Synthèse!$G$40+14,4))</f>
        <v>60</v>
      </c>
      <c r="N55" s="211">
        <f ca="1">INDIRECT("'Bureau 8'!" &amp; ADDRESS(ROW()-50,Synthèse!$G$40+14,4))</f>
        <v>52</v>
      </c>
      <c r="O55" s="211">
        <f ca="1">INDIRECT("'Bureau 9'!" &amp; ADDRESS(ROW()-50,Synthèse!$G$40+14,4))</f>
        <v>35</v>
      </c>
      <c r="P55" s="211">
        <f ca="1">INDIRECT("'Bureau 10'!" &amp; ADDRESS(ROW()-50,Synthèse!$G$40+14,4))</f>
        <v>54</v>
      </c>
      <c r="Q55" s="211">
        <f ca="1">INDIRECT("'Bureau 11'!" &amp; ADDRESS(ROW()-50,Synthèse!$G$40+14,4))</f>
        <v>50</v>
      </c>
      <c r="R55" s="211">
        <f ca="1">INDIRECT("'Bureau 12'!" &amp; ADDRESS(ROW()-50,Synthèse!$G$40+14,4))</f>
        <v>35</v>
      </c>
      <c r="S55" s="270">
        <f t="shared" ref="S55:S65" ca="1" si="15">SUMIF(G55:R55, "&lt;&gt;#N/A")</f>
        <v>598</v>
      </c>
      <c r="T55" s="275" t="s">
        <v>73</v>
      </c>
      <c r="U55" s="269">
        <v>45</v>
      </c>
      <c r="V55" s="277">
        <v>35</v>
      </c>
      <c r="W55" s="211">
        <v>70</v>
      </c>
      <c r="X55" s="211">
        <v>35</v>
      </c>
      <c r="Y55" s="211">
        <v>56</v>
      </c>
      <c r="Z55" s="211">
        <v>59</v>
      </c>
      <c r="AA55" s="211">
        <v>55</v>
      </c>
      <c r="AB55" s="211">
        <v>36</v>
      </c>
      <c r="AC55" s="211">
        <v>37</v>
      </c>
      <c r="AD55" s="211">
        <v>43</v>
      </c>
      <c r="AE55" s="211">
        <v>49</v>
      </c>
      <c r="AF55" s="211">
        <v>25</v>
      </c>
      <c r="AG55" s="270">
        <v>545</v>
      </c>
    </row>
    <row r="56" spans="6:33" ht="15.75" customHeight="1" x14ac:dyDescent="0.25">
      <c r="F56" s="275" t="s">
        <v>74</v>
      </c>
      <c r="G56" s="269">
        <f ca="1">INDIRECT("'Bureau 1'!" &amp; ADDRESS(ROW()-50,Synthèse!$G$40+14,4))</f>
        <v>51</v>
      </c>
      <c r="H56" s="277">
        <f ca="1">INDIRECT("'Bureau 2'!" &amp; ADDRESS(ROW()-50,Synthèse!$G$40+14,4))</f>
        <v>80</v>
      </c>
      <c r="I56" s="211">
        <f ca="1">INDIRECT("'Bureau 3'!" &amp; ADDRESS(ROW()-50,Synthèse!$G$40+14,4))</f>
        <v>80</v>
      </c>
      <c r="J56" s="211">
        <f ca="1">INDIRECT("'Bureau 4'!" &amp; ADDRESS(ROW()-50,Synthèse!$G$40+14,4))</f>
        <v>73</v>
      </c>
      <c r="K56" s="211">
        <f ca="1">INDIRECT("'Bureau 5'!" &amp; ADDRESS(ROW()-50,Synthèse!$G$40+14,4))</f>
        <v>90</v>
      </c>
      <c r="L56" s="211">
        <f ca="1">INDIRECT("'Bureau 6'!" &amp; ADDRESS(ROW()-50,Synthèse!$G$40+14,4))</f>
        <v>56</v>
      </c>
      <c r="M56" s="211">
        <f ca="1">INDIRECT("'Bureau 7'!" &amp; ADDRESS(ROW()-50,Synthèse!$G$40+14,4))</f>
        <v>70</v>
      </c>
      <c r="N56" s="211">
        <f ca="1">INDIRECT("'Bureau 8'!" &amp; ADDRESS(ROW()-50,Synthèse!$G$40+14,4))</f>
        <v>54</v>
      </c>
      <c r="O56" s="211">
        <f ca="1">INDIRECT("'Bureau 9'!" &amp; ADDRESS(ROW()-50,Synthèse!$G$40+14,4))</f>
        <v>57</v>
      </c>
      <c r="P56" s="211">
        <f ca="1">INDIRECT("'Bureau 10'!" &amp; ADDRESS(ROW()-50,Synthèse!$G$40+14,4))</f>
        <v>66</v>
      </c>
      <c r="Q56" s="211">
        <f ca="1">INDIRECT("'Bureau 11'!" &amp; ADDRESS(ROW()-50,Synthèse!$G$40+14,4))</f>
        <v>63</v>
      </c>
      <c r="R56" s="211">
        <f ca="1">INDIRECT("'Bureau 12'!" &amp; ADDRESS(ROW()-50,Synthèse!$G$40+14,4))</f>
        <v>53</v>
      </c>
      <c r="S56" s="270">
        <f t="shared" ca="1" si="15"/>
        <v>793</v>
      </c>
      <c r="T56" s="275" t="s">
        <v>74</v>
      </c>
      <c r="U56" s="269">
        <v>52</v>
      </c>
      <c r="V56" s="277">
        <v>60</v>
      </c>
      <c r="W56" s="211">
        <v>80</v>
      </c>
      <c r="X56" s="211">
        <v>70</v>
      </c>
      <c r="Y56" s="211">
        <v>67</v>
      </c>
      <c r="Z56" s="211">
        <v>51</v>
      </c>
      <c r="AA56" s="211">
        <v>75</v>
      </c>
      <c r="AB56" s="211">
        <v>77</v>
      </c>
      <c r="AC56" s="211">
        <v>46</v>
      </c>
      <c r="AD56" s="211">
        <v>70</v>
      </c>
      <c r="AE56" s="211">
        <v>62</v>
      </c>
      <c r="AF56" s="211">
        <v>47</v>
      </c>
      <c r="AG56" s="270">
        <v>757</v>
      </c>
    </row>
    <row r="57" spans="6:33" ht="15.75" customHeight="1" x14ac:dyDescent="0.25">
      <c r="F57" s="275" t="s">
        <v>75</v>
      </c>
      <c r="G57" s="269">
        <f ca="1">INDIRECT("'Bureau 1'!" &amp; ADDRESS(ROW()-50,Synthèse!$G$40+14,4))</f>
        <v>57</v>
      </c>
      <c r="H57" s="277">
        <f ca="1">INDIRECT("'Bureau 2'!" &amp; ADDRESS(ROW()-50,Synthèse!$G$40+14,4))</f>
        <v>60</v>
      </c>
      <c r="I57" s="211">
        <f ca="1">INDIRECT("'Bureau 3'!" &amp; ADDRESS(ROW()-50,Synthèse!$G$40+14,4))</f>
        <v>80</v>
      </c>
      <c r="J57" s="211">
        <f ca="1">INDIRECT("'Bureau 4'!" &amp; ADDRESS(ROW()-50,Synthèse!$G$40+14,4))</f>
        <v>37</v>
      </c>
      <c r="K57" s="211">
        <f ca="1">INDIRECT("'Bureau 5'!" &amp; ADDRESS(ROW()-50,Synthèse!$G$40+14,4))</f>
        <v>71</v>
      </c>
      <c r="L57" s="211">
        <f ca="1">INDIRECT("'Bureau 6'!" &amp; ADDRESS(ROW()-50,Synthèse!$G$40+14,4))</f>
        <v>57</v>
      </c>
      <c r="M57" s="211">
        <f ca="1">INDIRECT("'Bureau 7'!" &amp; ADDRESS(ROW()-50,Synthèse!$G$40+14,4))</f>
        <v>70</v>
      </c>
      <c r="N57" s="211">
        <f ca="1">INDIRECT("'Bureau 8'!" &amp; ADDRESS(ROW()-50,Synthèse!$G$40+14,4))</f>
        <v>66</v>
      </c>
      <c r="O57" s="211">
        <f ca="1">INDIRECT("'Bureau 9'!" &amp; ADDRESS(ROW()-50,Synthèse!$G$40+14,4))</f>
        <v>53</v>
      </c>
      <c r="P57" s="211">
        <f ca="1">INDIRECT("'Bureau 10'!" &amp; ADDRESS(ROW()-50,Synthèse!$G$40+14,4))</f>
        <v>70</v>
      </c>
      <c r="Q57" s="211">
        <f ca="1">INDIRECT("'Bureau 11'!" &amp; ADDRESS(ROW()-50,Synthèse!$G$40+14,4))</f>
        <v>70</v>
      </c>
      <c r="R57" s="211">
        <f ca="1">INDIRECT("'Bureau 12'!" &amp; ADDRESS(ROW()-50,Synthèse!$G$40+14,4))</f>
        <v>60</v>
      </c>
      <c r="S57" s="270">
        <f t="shared" ca="1" si="15"/>
        <v>751</v>
      </c>
      <c r="T57" s="275" t="s">
        <v>75</v>
      </c>
      <c r="U57" s="269">
        <v>56</v>
      </c>
      <c r="V57" s="277">
        <v>90</v>
      </c>
      <c r="W57" s="211">
        <v>80</v>
      </c>
      <c r="X57" s="211">
        <v>50</v>
      </c>
      <c r="Y57" s="211">
        <v>80</v>
      </c>
      <c r="Z57" s="211">
        <v>50</v>
      </c>
      <c r="AA57" s="211">
        <v>92</v>
      </c>
      <c r="AB57" s="211">
        <v>64</v>
      </c>
      <c r="AC57" s="211">
        <v>60</v>
      </c>
      <c r="AD57" s="211">
        <v>70</v>
      </c>
      <c r="AE57" s="211">
        <v>57</v>
      </c>
      <c r="AF57" s="211">
        <v>47</v>
      </c>
      <c r="AG57" s="270">
        <v>796</v>
      </c>
    </row>
    <row r="58" spans="6:33" ht="15.75" customHeight="1" x14ac:dyDescent="0.25">
      <c r="F58" s="275" t="s">
        <v>76</v>
      </c>
      <c r="G58" s="269">
        <f ca="1">INDIRECT("'Bureau 1'!" &amp; ADDRESS(ROW()-50,Synthèse!$G$40+14,4))</f>
        <v>32</v>
      </c>
      <c r="H58" s="277">
        <f ca="1">INDIRECT("'Bureau 2'!" &amp; ADDRESS(ROW()-50,Synthèse!$G$40+14,4))</f>
        <v>58</v>
      </c>
      <c r="I58" s="211">
        <f ca="1">INDIRECT("'Bureau 3'!" &amp; ADDRESS(ROW()-50,Synthèse!$G$40+14,4))</f>
        <v>50</v>
      </c>
      <c r="J58" s="211">
        <f ca="1">INDIRECT("'Bureau 4'!" &amp; ADDRESS(ROW()-50,Synthèse!$G$40+14,4))</f>
        <v>40</v>
      </c>
      <c r="K58" s="211">
        <f ca="1">INDIRECT("'Bureau 5'!" &amp; ADDRESS(ROW()-50,Synthèse!$G$40+14,4))</f>
        <v>60</v>
      </c>
      <c r="L58" s="211">
        <f ca="1">INDIRECT("'Bureau 6'!" &amp; ADDRESS(ROW()-50,Synthèse!$G$40+14,4))</f>
        <v>45</v>
      </c>
      <c r="M58" s="211">
        <f ca="1">INDIRECT("'Bureau 7'!" &amp; ADDRESS(ROW()-50,Synthèse!$G$40+14,4))</f>
        <v>50</v>
      </c>
      <c r="N58" s="211">
        <f ca="1">INDIRECT("'Bureau 8'!" &amp; ADDRESS(ROW()-50,Synthèse!$G$40+14,4))</f>
        <v>55</v>
      </c>
      <c r="O58" s="211">
        <f ca="1">INDIRECT("'Bureau 9'!" &amp; ADDRESS(ROW()-50,Synthèse!$G$40+14,4))</f>
        <v>33</v>
      </c>
      <c r="P58" s="211">
        <f ca="1">INDIRECT("'Bureau 10'!" &amp; ADDRESS(ROW()-50,Synthèse!$G$40+14,4))</f>
        <v>50</v>
      </c>
      <c r="Q58" s="211">
        <f ca="1">INDIRECT("'Bureau 11'!" &amp; ADDRESS(ROW()-50,Synthèse!$G$40+14,4))</f>
        <v>34</v>
      </c>
      <c r="R58" s="211">
        <f ca="1">INDIRECT("'Bureau 12'!" &amp; ADDRESS(ROW()-50,Synthèse!$G$40+14,4))</f>
        <v>36</v>
      </c>
      <c r="S58" s="270">
        <f t="shared" ca="1" si="15"/>
        <v>543</v>
      </c>
      <c r="T58" s="275" t="s">
        <v>76</v>
      </c>
      <c r="U58" s="269">
        <v>23</v>
      </c>
      <c r="V58" s="277">
        <v>38</v>
      </c>
      <c r="W58" s="211">
        <v>40</v>
      </c>
      <c r="X58" s="211">
        <v>38</v>
      </c>
      <c r="Y58" s="211">
        <v>50</v>
      </c>
      <c r="Z58" s="211">
        <v>47</v>
      </c>
      <c r="AA58" s="211">
        <v>42</v>
      </c>
      <c r="AB58" s="211">
        <v>47</v>
      </c>
      <c r="AC58" s="211">
        <v>27</v>
      </c>
      <c r="AD58" s="211">
        <v>30</v>
      </c>
      <c r="AE58" s="211">
        <v>49</v>
      </c>
      <c r="AF58" s="211">
        <v>39</v>
      </c>
      <c r="AG58" s="270">
        <v>470</v>
      </c>
    </row>
    <row r="59" spans="6:33" ht="15.75" customHeight="1" x14ac:dyDescent="0.25">
      <c r="F59" s="275" t="s">
        <v>77</v>
      </c>
      <c r="G59" s="269">
        <f ca="1">INDIRECT("'Bureau 1'!" &amp; ADDRESS(ROW()-50,Synthèse!$G$40+14,4))</f>
        <v>20</v>
      </c>
      <c r="H59" s="277">
        <f ca="1">INDIRECT("'Bureau 2'!" &amp; ADDRESS(ROW()-50,Synthèse!$G$40+14,4))</f>
        <v>26</v>
      </c>
      <c r="I59" s="211">
        <f ca="1">INDIRECT("'Bureau 3'!" &amp; ADDRESS(ROW()-50,Synthèse!$G$40+14,4))</f>
        <v>20</v>
      </c>
      <c r="J59" s="211">
        <f ca="1">INDIRECT("'Bureau 4'!" &amp; ADDRESS(ROW()-50,Synthèse!$G$40+14,4))</f>
        <v>35</v>
      </c>
      <c r="K59" s="211">
        <f ca="1">INDIRECT("'Bureau 5'!" &amp; ADDRESS(ROW()-50,Synthèse!$G$40+14,4))</f>
        <v>24</v>
      </c>
      <c r="L59" s="211">
        <f ca="1">INDIRECT("'Bureau 6'!" &amp; ADDRESS(ROW()-50,Synthèse!$G$40+14,4))</f>
        <v>26</v>
      </c>
      <c r="M59" s="211">
        <f ca="1">INDIRECT("'Bureau 7'!" &amp; ADDRESS(ROW()-50,Synthèse!$G$40+14,4))</f>
        <v>30</v>
      </c>
      <c r="N59" s="211">
        <f ca="1">INDIRECT("'Bureau 8'!" &amp; ADDRESS(ROW()-50,Synthèse!$G$40+14,4))</f>
        <v>27</v>
      </c>
      <c r="O59" s="211">
        <f ca="1">INDIRECT("'Bureau 9'!" &amp; ADDRESS(ROW()-50,Synthèse!$G$40+14,4))</f>
        <v>27</v>
      </c>
      <c r="P59" s="211">
        <f ca="1">INDIRECT("'Bureau 10'!" &amp; ADDRESS(ROW()-50,Synthèse!$G$40+14,4))</f>
        <v>12</v>
      </c>
      <c r="Q59" s="211">
        <f ca="1">INDIRECT("'Bureau 11'!" &amp; ADDRESS(ROW()-50,Synthèse!$G$40+14,4))</f>
        <v>38</v>
      </c>
      <c r="R59" s="211">
        <f ca="1">INDIRECT("'Bureau 12'!" &amp; ADDRESS(ROW()-50,Synthèse!$G$40+14,4))</f>
        <v>16</v>
      </c>
      <c r="S59" s="270">
        <f t="shared" ca="1" si="15"/>
        <v>301</v>
      </c>
      <c r="T59" s="275" t="s">
        <v>77</v>
      </c>
      <c r="U59" s="269">
        <v>26</v>
      </c>
      <c r="V59" s="277">
        <v>42</v>
      </c>
      <c r="W59" s="211">
        <v>50</v>
      </c>
      <c r="X59" s="211">
        <v>40</v>
      </c>
      <c r="Y59" s="211">
        <v>35</v>
      </c>
      <c r="Z59" s="211">
        <v>38</v>
      </c>
      <c r="AA59" s="211">
        <v>26</v>
      </c>
      <c r="AB59" s="211">
        <v>40</v>
      </c>
      <c r="AC59" s="211">
        <v>38</v>
      </c>
      <c r="AD59" s="211">
        <v>32</v>
      </c>
      <c r="AE59" s="211">
        <v>35</v>
      </c>
      <c r="AF59" s="211">
        <v>35</v>
      </c>
      <c r="AG59" s="270">
        <v>437</v>
      </c>
    </row>
    <row r="60" spans="6:33" ht="15.75" customHeight="1" x14ac:dyDescent="0.25">
      <c r="F60" s="275" t="s">
        <v>78</v>
      </c>
      <c r="G60" s="269">
        <f ca="1">INDIRECT("'Bureau 1'!" &amp; ADDRESS(ROW()-50,Synthèse!$G$40+14,4))</f>
        <v>23</v>
      </c>
      <c r="H60" s="277">
        <f ca="1">INDIRECT("'Bureau 2'!" &amp; ADDRESS(ROW()-50,Synthèse!$G$40+14,4))</f>
        <v>26</v>
      </c>
      <c r="I60" s="211">
        <f ca="1">INDIRECT("'Bureau 3'!" &amp; ADDRESS(ROW()-50,Synthèse!$G$40+14,4))</f>
        <v>40</v>
      </c>
      <c r="J60" s="211">
        <f ca="1">INDIRECT("'Bureau 4'!" &amp; ADDRESS(ROW()-50,Synthèse!$G$40+14,4))</f>
        <v>32</v>
      </c>
      <c r="K60" s="211">
        <f ca="1">INDIRECT("'Bureau 5'!" &amp; ADDRESS(ROW()-50,Synthèse!$G$40+14,4))</f>
        <v>35</v>
      </c>
      <c r="L60" s="211">
        <f ca="1">INDIRECT("'Bureau 6'!" &amp; ADDRESS(ROW()-50,Synthèse!$G$40+14,4))</f>
        <v>36</v>
      </c>
      <c r="M60" s="211">
        <f ca="1">INDIRECT("'Bureau 7'!" &amp; ADDRESS(ROW()-50,Synthèse!$G$40+14,4))</f>
        <v>20</v>
      </c>
      <c r="N60" s="211">
        <f ca="1">INDIRECT("'Bureau 8'!" &amp; ADDRESS(ROW()-50,Synthèse!$G$40+14,4))</f>
        <v>23</v>
      </c>
      <c r="O60" s="211">
        <f ca="1">INDIRECT("'Bureau 9'!" &amp; ADDRESS(ROW()-50,Synthèse!$G$40+14,4))</f>
        <v>24</v>
      </c>
      <c r="P60" s="211">
        <f ca="1">INDIRECT("'Bureau 10'!" &amp; ADDRESS(ROW()-50,Synthèse!$G$40+14,4))</f>
        <v>23</v>
      </c>
      <c r="Q60" s="211">
        <f ca="1">INDIRECT("'Bureau 11'!" &amp; ADDRESS(ROW()-50,Synthèse!$G$40+14,4))</f>
        <v>34</v>
      </c>
      <c r="R60" s="211">
        <f ca="1">INDIRECT("'Bureau 12'!" &amp; ADDRESS(ROW()-50,Synthèse!$G$40+14,4))</f>
        <v>29</v>
      </c>
      <c r="S60" s="270">
        <f t="shared" ca="1" si="15"/>
        <v>345</v>
      </c>
      <c r="T60" s="275" t="s">
        <v>78</v>
      </c>
      <c r="U60" s="269">
        <v>21</v>
      </c>
      <c r="V60" s="277">
        <v>50</v>
      </c>
      <c r="W60" s="211">
        <v>50</v>
      </c>
      <c r="X60" s="211">
        <v>40</v>
      </c>
      <c r="Y60" s="211">
        <v>50</v>
      </c>
      <c r="Z60" s="211">
        <v>30</v>
      </c>
      <c r="AA60" s="211">
        <v>44</v>
      </c>
      <c r="AB60" s="211">
        <v>25</v>
      </c>
      <c r="AC60" s="211">
        <v>40</v>
      </c>
      <c r="AD60" s="211">
        <v>28</v>
      </c>
      <c r="AE60" s="211">
        <v>33</v>
      </c>
      <c r="AF60" s="211">
        <v>34</v>
      </c>
      <c r="AG60" s="270">
        <v>445</v>
      </c>
    </row>
    <row r="61" spans="6:33" ht="15.75" customHeight="1" x14ac:dyDescent="0.25">
      <c r="F61" s="275" t="s">
        <v>79</v>
      </c>
      <c r="G61" s="269">
        <f ca="1">INDIRECT("'Bureau 1'!" &amp; ADDRESS(ROW()-50,Synthèse!$G$40+14,4))</f>
        <v>24</v>
      </c>
      <c r="H61" s="277">
        <f ca="1">INDIRECT("'Bureau 2'!" &amp; ADDRESS(ROW()-50,Synthèse!$G$40+14,4))</f>
        <v>30</v>
      </c>
      <c r="I61" s="211">
        <f ca="1">INDIRECT("'Bureau 3'!" &amp; ADDRESS(ROW()-50,Synthèse!$G$40+14,4))</f>
        <v>50</v>
      </c>
      <c r="J61" s="211">
        <f ca="1">INDIRECT("'Bureau 4'!" &amp; ADDRESS(ROW()-50,Synthèse!$G$40+14,4))</f>
        <v>17</v>
      </c>
      <c r="K61" s="211">
        <f ca="1">INDIRECT("'Bureau 5'!" &amp; ADDRESS(ROW()-50,Synthèse!$G$40+14,4))</f>
        <v>30</v>
      </c>
      <c r="L61" s="211">
        <f ca="1">INDIRECT("'Bureau 6'!" &amp; ADDRESS(ROW()-50,Synthèse!$G$40+14,4))</f>
        <v>20</v>
      </c>
      <c r="M61" s="211">
        <f ca="1">INDIRECT("'Bureau 7'!" &amp; ADDRESS(ROW()-50,Synthèse!$G$40+14,4))</f>
        <v>45</v>
      </c>
      <c r="N61" s="211">
        <f ca="1">INDIRECT("'Bureau 8'!" &amp; ADDRESS(ROW()-50,Synthèse!$G$40+14,4))</f>
        <v>13</v>
      </c>
      <c r="O61" s="211">
        <f ca="1">INDIRECT("'Bureau 9'!" &amp; ADDRESS(ROW()-50,Synthèse!$G$40+14,4))</f>
        <v>30</v>
      </c>
      <c r="P61" s="211">
        <f ca="1">INDIRECT("'Bureau 10'!" &amp; ADDRESS(ROW()-50,Synthèse!$G$40+14,4))</f>
        <v>20</v>
      </c>
      <c r="Q61" s="211">
        <f ca="1">INDIRECT("'Bureau 11'!" &amp; ADDRESS(ROW()-50,Synthèse!$G$40+14,4))</f>
        <v>31</v>
      </c>
      <c r="R61" s="211">
        <f ca="1">INDIRECT("'Bureau 12'!" &amp; ADDRESS(ROW()-50,Synthèse!$G$40+14,4))</f>
        <v>21</v>
      </c>
      <c r="S61" s="270">
        <f t="shared" ca="1" si="15"/>
        <v>331</v>
      </c>
      <c r="T61" s="275" t="s">
        <v>79</v>
      </c>
      <c r="U61" s="269">
        <v>26</v>
      </c>
      <c r="V61" s="277">
        <v>30</v>
      </c>
      <c r="W61" s="211">
        <v>30</v>
      </c>
      <c r="X61" s="211">
        <v>30</v>
      </c>
      <c r="Y61" s="211">
        <v>45</v>
      </c>
      <c r="Z61" s="211">
        <v>31</v>
      </c>
      <c r="AA61" s="211">
        <v>48</v>
      </c>
      <c r="AB61" s="211">
        <v>25</v>
      </c>
      <c r="AC61" s="211">
        <v>23</v>
      </c>
      <c r="AD61" s="211">
        <v>30</v>
      </c>
      <c r="AE61" s="211">
        <v>50</v>
      </c>
      <c r="AF61" s="211">
        <v>36</v>
      </c>
      <c r="AG61" s="270">
        <v>404</v>
      </c>
    </row>
    <row r="62" spans="6:33" ht="15.75" customHeight="1" x14ac:dyDescent="0.25">
      <c r="F62" s="275" t="s">
        <v>80</v>
      </c>
      <c r="G62" s="269">
        <f ca="1">INDIRECT("'Bureau 1'!" &amp; ADDRESS(ROW()-50,Synthèse!$G$40+14,4))</f>
        <v>23</v>
      </c>
      <c r="H62" s="277">
        <f ca="1">INDIRECT("'Bureau 2'!" &amp; ADDRESS(ROW()-50,Synthèse!$G$40+14,4))</f>
        <v>32</v>
      </c>
      <c r="I62" s="211">
        <f ca="1">INDIRECT("'Bureau 3'!" &amp; ADDRESS(ROW()-50,Synthèse!$G$40+14,4))</f>
        <v>40</v>
      </c>
      <c r="J62" s="211">
        <f ca="1">INDIRECT("'Bureau 4'!" &amp; ADDRESS(ROW()-50,Synthèse!$G$40+14,4))</f>
        <v>23</v>
      </c>
      <c r="K62" s="211">
        <f ca="1">INDIRECT("'Bureau 5'!" &amp; ADDRESS(ROW()-50,Synthèse!$G$40+14,4))</f>
        <v>27</v>
      </c>
      <c r="L62" s="211">
        <f ca="1">INDIRECT("'Bureau 6'!" &amp; ADDRESS(ROW()-50,Synthèse!$G$40+14,4))</f>
        <v>22</v>
      </c>
      <c r="M62" s="211">
        <f ca="1">INDIRECT("'Bureau 7'!" &amp; ADDRESS(ROW()-50,Synthèse!$G$40+14,4))</f>
        <v>35</v>
      </c>
      <c r="N62" s="211">
        <f ca="1">INDIRECT("'Bureau 8'!" &amp; ADDRESS(ROW()-50,Synthèse!$G$40+14,4))</f>
        <v>26</v>
      </c>
      <c r="O62" s="211">
        <f ca="1">INDIRECT("'Bureau 9'!" &amp; ADDRESS(ROW()-50,Synthèse!$G$40+14,4))</f>
        <v>26</v>
      </c>
      <c r="P62" s="211">
        <f ca="1">INDIRECT("'Bureau 10'!" &amp; ADDRESS(ROW()-50,Synthèse!$G$40+14,4))</f>
        <v>20</v>
      </c>
      <c r="Q62" s="211">
        <f ca="1">INDIRECT("'Bureau 11'!" &amp; ADDRESS(ROW()-50,Synthèse!$G$40+14,4))</f>
        <v>24</v>
      </c>
      <c r="R62" s="211">
        <f ca="1">INDIRECT("'Bureau 12'!" &amp; ADDRESS(ROW()-50,Synthèse!$G$40+14,4))</f>
        <v>27</v>
      </c>
      <c r="S62" s="270">
        <f t="shared" ca="1" si="15"/>
        <v>325</v>
      </c>
      <c r="T62" s="275" t="s">
        <v>80</v>
      </c>
      <c r="U62" s="269">
        <v>21</v>
      </c>
      <c r="V62" s="277">
        <v>25</v>
      </c>
      <c r="W62" s="211">
        <v>30</v>
      </c>
      <c r="X62" s="211">
        <v>15</v>
      </c>
      <c r="Y62" s="211">
        <v>15</v>
      </c>
      <c r="Z62" s="211">
        <v>19</v>
      </c>
      <c r="AA62" s="211">
        <v>18</v>
      </c>
      <c r="AB62" s="211">
        <v>11</v>
      </c>
      <c r="AC62" s="211">
        <v>19</v>
      </c>
      <c r="AD62" s="211">
        <v>14</v>
      </c>
      <c r="AE62" s="211">
        <v>16</v>
      </c>
      <c r="AF62" s="211">
        <v>34</v>
      </c>
      <c r="AG62" s="270">
        <v>237</v>
      </c>
    </row>
    <row r="63" spans="6:33" ht="15.75" customHeight="1" thickBot="1" x14ac:dyDescent="0.3">
      <c r="F63" s="276" t="s">
        <v>81</v>
      </c>
      <c r="G63" s="271">
        <f ca="1">INDIRECT("'Bureau 1'!" &amp; ADDRESS(ROW()-50,Synthèse!$G$40+14,4))</f>
        <v>14</v>
      </c>
      <c r="H63" s="282">
        <f ca="1">INDIRECT("'Bureau 2'!" &amp; ADDRESS(ROW()-50,Synthèse!$G$40+14,4))</f>
        <v>31</v>
      </c>
      <c r="I63" s="272">
        <f ca="1">INDIRECT("'Bureau 3'!" &amp; ADDRESS(ROW()-50,Synthèse!$G$40+14,4))</f>
        <v>20</v>
      </c>
      <c r="J63" s="272">
        <f ca="1">INDIRECT("'Bureau 4'!" &amp; ADDRESS(ROW()-50,Synthèse!$G$40+14,4))</f>
        <v>15</v>
      </c>
      <c r="K63" s="272">
        <f ca="1">INDIRECT("'Bureau 5'!" &amp; ADDRESS(ROW()-50,Synthèse!$G$40+14,4))</f>
        <v>28</v>
      </c>
      <c r="L63" s="272">
        <f ca="1">INDIRECT("'Bureau 6'!" &amp; ADDRESS(ROW()-50,Synthèse!$G$40+14,4))</f>
        <v>18</v>
      </c>
      <c r="M63" s="272">
        <f ca="1">INDIRECT("'Bureau 7'!" &amp; ADDRESS(ROW()-50,Synthèse!$G$40+14,4))</f>
        <v>20</v>
      </c>
      <c r="N63" s="272">
        <f ca="1">INDIRECT("'Bureau 8'!" &amp; ADDRESS(ROW()-50,Synthèse!$G$40+14,4))</f>
        <v>6</v>
      </c>
      <c r="O63" s="272">
        <f ca="1">INDIRECT("'Bureau 9'!" &amp; ADDRESS(ROW()-50,Synthèse!$G$40+14,4))</f>
        <v>11</v>
      </c>
      <c r="P63" s="272">
        <f ca="1">INDIRECT("'Bureau 10'!" &amp; ADDRESS(ROW()-50,Synthèse!$G$40+14,4))</f>
        <v>12</v>
      </c>
      <c r="Q63" s="272">
        <f ca="1">INDIRECT("'Bureau 11'!" &amp; ADDRESS(ROW()-50,Synthèse!$G$40+14,4))</f>
        <v>18</v>
      </c>
      <c r="R63" s="272">
        <f ca="1">INDIRECT("'Bureau 12'!" &amp; ADDRESS(ROW()-50,Synthèse!$G$40+14,4))</f>
        <v>13</v>
      </c>
      <c r="S63" s="273">
        <f t="shared" ca="1" si="15"/>
        <v>206</v>
      </c>
      <c r="T63" s="276" t="s">
        <v>81</v>
      </c>
      <c r="U63" s="271">
        <v>20</v>
      </c>
      <c r="V63" s="282">
        <v>28</v>
      </c>
      <c r="W63" s="272">
        <v>15</v>
      </c>
      <c r="X63" s="272">
        <v>12</v>
      </c>
      <c r="Y63" s="272">
        <v>17</v>
      </c>
      <c r="Z63" s="272">
        <v>12</v>
      </c>
      <c r="AA63" s="272">
        <v>19</v>
      </c>
      <c r="AB63" s="272">
        <v>18</v>
      </c>
      <c r="AC63" s="272">
        <v>21</v>
      </c>
      <c r="AD63" s="272">
        <v>13</v>
      </c>
      <c r="AE63" s="272">
        <v>18</v>
      </c>
      <c r="AF63" s="272">
        <v>5</v>
      </c>
      <c r="AG63" s="273">
        <v>198</v>
      </c>
    </row>
    <row r="64" spans="6:33" ht="15.75" customHeight="1" x14ac:dyDescent="0.25">
      <c r="F64" s="291" t="s">
        <v>82</v>
      </c>
      <c r="G64" s="296" t="e">
        <f ca="1">INDIRECT("'Bureau 1'!" &amp; ADDRESS(ROW()-50,Synthèse!$G$40+14,4))</f>
        <v>#N/A</v>
      </c>
      <c r="H64" s="297" t="e">
        <f ca="1">INDIRECT("'Bureau 2'!" &amp; ADDRESS(ROW()-50,Synthèse!$G$40+14,4))</f>
        <v>#N/A</v>
      </c>
      <c r="I64" s="297" t="e">
        <f ca="1">INDIRECT("'Bureau 3'!" &amp; ADDRESS(ROW()-50,Synthèse!$G$40+14,4))</f>
        <v>#N/A</v>
      </c>
      <c r="J64" s="297" t="e">
        <f ca="1">INDIRECT("'Bureau 4'!" &amp; ADDRESS(ROW()-50,Synthèse!$G$40+14,4))</f>
        <v>#N/A</v>
      </c>
      <c r="K64" s="297" t="e">
        <f ca="1">INDIRECT("'Bureau 5'!" &amp; ADDRESS(ROW()-50,Synthèse!$G$40+14,4))</f>
        <v>#N/A</v>
      </c>
      <c r="L64" s="297" t="e">
        <f ca="1">INDIRECT("'Bureau 6'!" &amp; ADDRESS(ROW()-50,Synthèse!$G$40+14,4))</f>
        <v>#N/A</v>
      </c>
      <c r="M64" s="297" t="e">
        <f ca="1">INDIRECT("'Bureau 7'!" &amp; ADDRESS(ROW()-50,Synthèse!$G$40+14,4))</f>
        <v>#N/A</v>
      </c>
      <c r="N64" s="297" t="e">
        <f ca="1">INDIRECT("'Bureau 8'!" &amp; ADDRESS(ROW()-50,Synthèse!$G$40+14,4))</f>
        <v>#N/A</v>
      </c>
      <c r="O64" s="297" t="e">
        <f ca="1">INDIRECT("'Bureau 9'!" &amp; ADDRESS(ROW()-50,Synthèse!$G$40+14,4))</f>
        <v>#N/A</v>
      </c>
      <c r="P64" s="297" t="e">
        <f ca="1">INDIRECT("'Bureau 10'!" &amp; ADDRESS(ROW()-50,Synthèse!$G$40+14,4))</f>
        <v>#N/A</v>
      </c>
      <c r="Q64" s="297" t="e">
        <f ca="1">INDIRECT("'Bureau 11'!" &amp; ADDRESS(ROW()-50,Synthèse!$G$40+14,4))</f>
        <v>#N/A</v>
      </c>
      <c r="R64" s="297" t="e">
        <f ca="1">INDIRECT("'Bureau 12'!" &amp; ADDRESS(ROW()-50,Synthèse!$G$40+14,4))</f>
        <v>#N/A</v>
      </c>
      <c r="S64" s="298">
        <f t="shared" ca="1" si="15"/>
        <v>0</v>
      </c>
      <c r="T64" s="291" t="s">
        <v>82</v>
      </c>
      <c r="U64" s="296" t="e">
        <v>#N/A</v>
      </c>
      <c r="V64" s="297" t="e">
        <v>#N/A</v>
      </c>
      <c r="W64" s="297" t="e">
        <v>#N/A</v>
      </c>
      <c r="X64" s="297" t="e">
        <v>#N/A</v>
      </c>
      <c r="Y64" s="297" t="e">
        <v>#N/A</v>
      </c>
      <c r="Z64" s="297" t="e">
        <v>#N/A</v>
      </c>
      <c r="AA64" s="297" t="e">
        <v>#N/A</v>
      </c>
      <c r="AB64" s="297" t="e">
        <v>#N/A</v>
      </c>
      <c r="AC64" s="297" t="e">
        <v>#N/A</v>
      </c>
      <c r="AD64" s="297" t="e">
        <v>#N/A</v>
      </c>
      <c r="AE64" s="297" t="e">
        <v>#N/A</v>
      </c>
      <c r="AF64" s="297" t="e">
        <v>#N/A</v>
      </c>
      <c r="AG64" s="298" t="e">
        <v>#N/A</v>
      </c>
    </row>
    <row r="65" spans="6:33" ht="15.75" customHeight="1" thickBot="1" x14ac:dyDescent="0.3">
      <c r="F65" s="292" t="s">
        <v>83</v>
      </c>
      <c r="G65" s="293" t="e">
        <f ca="1">INDIRECT("'Bureau 1'!" &amp; ADDRESS(ROW()-50,Synthèse!$G$40+14,4))</f>
        <v>#N/A</v>
      </c>
      <c r="H65" s="294" t="e">
        <f ca="1">INDIRECT("'Bureau 2'!" &amp; ADDRESS(ROW()-50,Synthèse!$G$40+14,4))</f>
        <v>#N/A</v>
      </c>
      <c r="I65" s="294" t="e">
        <f ca="1">INDIRECT("'Bureau 3'!" &amp; ADDRESS(ROW()-50,Synthèse!$G$40+14,4))</f>
        <v>#N/A</v>
      </c>
      <c r="J65" s="294" t="e">
        <f ca="1">INDIRECT("'Bureau 4'!" &amp; ADDRESS(ROW()-50,Synthèse!$G$40+14,4))</f>
        <v>#N/A</v>
      </c>
      <c r="K65" s="294" t="e">
        <f ca="1">INDIRECT("'Bureau 5'!" &amp; ADDRESS(ROW()-50,Synthèse!$G$40+14,4))</f>
        <v>#N/A</v>
      </c>
      <c r="L65" s="294" t="e">
        <f ca="1">INDIRECT("'Bureau 6'!" &amp; ADDRESS(ROW()-50,Synthèse!$G$40+14,4))</f>
        <v>#N/A</v>
      </c>
      <c r="M65" s="294" t="e">
        <f ca="1">INDIRECT("'Bureau 7'!" &amp; ADDRESS(ROW()-50,Synthèse!$G$40+14,4))</f>
        <v>#N/A</v>
      </c>
      <c r="N65" s="294" t="e">
        <f ca="1">INDIRECT("'Bureau 8'!" &amp; ADDRESS(ROW()-50,Synthèse!$G$40+14,4))</f>
        <v>#N/A</v>
      </c>
      <c r="O65" s="294" t="e">
        <f ca="1">INDIRECT("'Bureau 9'!" &amp; ADDRESS(ROW()-50,Synthèse!$G$40+14,4))</f>
        <v>#N/A</v>
      </c>
      <c r="P65" s="294" t="e">
        <f ca="1">INDIRECT("'Bureau 10'!" &amp; ADDRESS(ROW()-50,Synthèse!$G$40+14,4))</f>
        <v>#N/A</v>
      </c>
      <c r="Q65" s="294" t="e">
        <f ca="1">INDIRECT("'Bureau 11'!" &amp; ADDRESS(ROW()-50,Synthèse!$G$40+14,4))</f>
        <v>#N/A</v>
      </c>
      <c r="R65" s="294" t="e">
        <f ca="1">INDIRECT("'Bureau 12'!" &amp; ADDRESS(ROW()-50,Synthèse!$G$40+14,4))</f>
        <v>#N/A</v>
      </c>
      <c r="S65" s="295">
        <f t="shared" ca="1" si="15"/>
        <v>0</v>
      </c>
      <c r="T65" s="292" t="s">
        <v>83</v>
      </c>
      <c r="U65" s="293" t="e">
        <v>#N/A</v>
      </c>
      <c r="V65" s="294" t="e">
        <v>#N/A</v>
      </c>
      <c r="W65" s="294" t="e">
        <v>#N/A</v>
      </c>
      <c r="X65" s="294" t="e">
        <v>#N/A</v>
      </c>
      <c r="Y65" s="294" t="e">
        <v>#N/A</v>
      </c>
      <c r="Z65" s="294" t="e">
        <v>#N/A</v>
      </c>
      <c r="AA65" s="294" t="e">
        <v>#N/A</v>
      </c>
      <c r="AB65" s="294" t="e">
        <v>#N/A</v>
      </c>
      <c r="AC65" s="294" t="e">
        <v>#N/A</v>
      </c>
      <c r="AD65" s="294" t="e">
        <v>#N/A</v>
      </c>
      <c r="AE65" s="294" t="e">
        <v>#N/A</v>
      </c>
      <c r="AF65" s="294" t="e">
        <v>#N/A</v>
      </c>
      <c r="AG65" s="295" t="e">
        <v>#N/A</v>
      </c>
    </row>
  </sheetData>
  <sheetProtection algorithmName="SHA-512" hashValue="bIIJqsMcHg17R6NVi43JCNmkGX37mKnzPkf1IoiBdYYqWum73Uf0uDiT0Ugj5pAgbC2uCRZHhneRCqLEE/l3FA==" saltValue="GFi5DvGrTm+9raSzMGQ7ng==" spinCount="100000" sheet="1" objects="1" scenarios="1"/>
  <mergeCells count="22">
    <mergeCell ref="U52:AG52"/>
    <mergeCell ref="U36:AG36"/>
    <mergeCell ref="Y1:Z1"/>
    <mergeCell ref="AE15:AQ15"/>
    <mergeCell ref="AA1:AB1"/>
    <mergeCell ref="AC1:AD1"/>
    <mergeCell ref="AJ21:AK21"/>
    <mergeCell ref="AH21:AI21"/>
    <mergeCell ref="W1:X1"/>
    <mergeCell ref="U1:V1"/>
    <mergeCell ref="M1:N1"/>
    <mergeCell ref="O1:P1"/>
    <mergeCell ref="G36:S36"/>
    <mergeCell ref="G52:S52"/>
    <mergeCell ref="A14:B14"/>
    <mergeCell ref="Q1:R1"/>
    <mergeCell ref="S1:T1"/>
    <mergeCell ref="A1:B1"/>
    <mergeCell ref="C1:E1"/>
    <mergeCell ref="G1:H1"/>
    <mergeCell ref="I1:J1"/>
    <mergeCell ref="K1:L1"/>
  </mergeCells>
  <phoneticPr fontId="20" type="noConversion"/>
  <conditionalFormatting sqref="D2:D14 H2:H14 J2:J14 L2:L14 N2:N14 P2:P14 R2:R14 T2:T14 V2:V14 X2:X14 Z2:Z14 AB2:AB14 AD2:AD14">
    <cfRule type="cellIs" dxfId="373" priority="1" operator="greaterThan">
      <formula>1</formula>
    </cfRule>
  </conditionalFormatting>
  <conditionalFormatting sqref="E2:E13">
    <cfRule type="dataBar" priority="2">
      <dataBar showValue="0"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{84D3F3E1-8834-421C-A089-43980EF9F072}</x14:id>
        </ext>
      </extLst>
    </cfRule>
  </conditionalFormatting>
  <conditionalFormatting sqref="E14">
    <cfRule type="dataBar" priority="3">
      <dataBar showValue="0">
        <cfvo type="num" val="0"/>
        <cfvo type="num" val="1"/>
        <color theme="4" tint="-0.499984740745262"/>
      </dataBar>
      <extLst>
        <ext xmlns:x14="http://schemas.microsoft.com/office/spreadsheetml/2009/9/main" uri="{B025F937-C7B1-47D3-B67F-A62EFF666E3E}">
          <x14:id>{A0DA79B3-DFA2-4623-83EE-7EAEB6D5939E}</x14:id>
        </ext>
      </extLst>
    </cfRule>
  </conditionalFormatting>
  <conditionalFormatting sqref="I2:AD14">
    <cfRule type="expression" dxfId="372" priority="4">
      <formula>AND(MOD(COLUMN(), 2)=1, I2&lt;G2, NOT(ISBLANK(I2)), NOT(I2=0))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Button 4">
              <controlPr locked="0" defaultSize="0" print="0" autoFill="0" autoPict="0" macro="[0]!ImporterParticipationHorairePremierTour">
                <anchor moveWithCells="1">
                  <from>
                    <xdr:col>34</xdr:col>
                    <xdr:colOff>469900</xdr:colOff>
                    <xdr:row>4</xdr:row>
                    <xdr:rowOff>133350</xdr:rowOff>
                  </from>
                  <to>
                    <xdr:col>38</xdr:col>
                    <xdr:colOff>69850</xdr:colOff>
                    <xdr:row>8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D3F3E1-8834-421C-A089-43980EF9F072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E2:E13</xm:sqref>
        </x14:conditionalFormatting>
        <x14:conditionalFormatting xmlns:xm="http://schemas.microsoft.com/office/excel/2006/main">
          <x14:cfRule type="dataBar" id="{A0DA79B3-DFA2-4623-83EE-7EAEB6D5939E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CF7-BA8A-417D-8F89-5FB9379549B7}">
  <sheetPr codeName="Feuil42">
    <tabColor rgb="FFB4A7D6"/>
  </sheetPr>
  <dimension ref="A1:Q82"/>
  <sheetViews>
    <sheetView workbookViewId="0">
      <selection activeCell="I13" sqref="I13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44</v>
      </c>
      <c r="F3" s="81">
        <v>52</v>
      </c>
      <c r="G3" s="89">
        <v>1</v>
      </c>
      <c r="H3" s="300">
        <v>3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54</v>
      </c>
      <c r="F4" s="82">
        <v>43</v>
      </c>
      <c r="G4" s="83">
        <v>4</v>
      </c>
      <c r="H4" s="84" cm="1">
        <f t="array" ref="H4">IF(ISNUMBER($D4),
 IFERROR(
  IF($D4 = MIN(INDEX(Table1,,1)),
     INDEX(Table1,MATCH($D4,INDEX(Table1,,1),0),COLUMN()-3),
     INDEX(Table1,MATCH($D4,INDEX(Table1,,1),0),COLUMN()-3)-INDEX(Table1,MATCH($D4,INDEX(Table1,,1),0)-1,COLUMN()-3)
  ),
  IFERROR(
   IF($D4 = MIN(INDEX(Table2,,1)),
      INDEX(Table2,MATCH($D4,INDEX(Table2,,1),0),COLUMN()-3),
      INDEX(Table2,MATCH($D4,INDEX(Table2,,1),0),COLUMN()-3)-INDEX(Table2,MATCH($D4,INDEX(Table2,,1),0)-1,COLUMN()-3)
   ),
   IFERROR(
    IF($D4 = MIN(INDEX(Table3,,1)),
       INDEX(Table3,MATCH($D4,INDEX(Table3,,1),0),COLUMN()-3),
       INDEX(Table3,MATCH($D4,INDEX(Table3,,1),0),COLUMN()-3)-INDEX(Table3,MATCH($D4,INDEX(Table3,,1),0)-1,COLUMN()-3)
    ),
    0
   )
  )
 ),
0)</f>
        <v>0</v>
      </c>
      <c r="I4" s="156">
        <f t="shared" si="0"/>
        <v>101</v>
      </c>
      <c r="J4" s="216"/>
      <c r="K4" s="322" t="s">
        <v>39</v>
      </c>
      <c r="L4" s="323">
        <v>33</v>
      </c>
      <c r="M4" s="324">
        <f t="shared" ref="M4:M15" si="1">IF(OR(L4=0, L4=""), NA(), L4/$B$7)</f>
        <v>5.9566787003610108E-2</v>
      </c>
      <c r="N4" s="321"/>
      <c r="O4" s="325" t="s">
        <v>72</v>
      </c>
      <c r="P4" s="326">
        <f t="shared" ref="P4:P13" si="2">IF(L4&lt;&gt;0,L4-L3,NA())</f>
        <v>33</v>
      </c>
    </row>
    <row r="5" spans="1:17" ht="20.149999999999999" customHeight="1" x14ac:dyDescent="0.35">
      <c r="A5" s="303" t="s">
        <v>91</v>
      </c>
      <c r="B5" s="219">
        <v>1</v>
      </c>
      <c r="D5" s="171" cm="1">
        <f t="array" ref="D5">IF(ROW(3:3)&lt;=$E$24, (ROW(3:3)), "")</f>
        <v>3</v>
      </c>
      <c r="E5" s="82">
        <v>45</v>
      </c>
      <c r="F5" s="82">
        <v>51</v>
      </c>
      <c r="G5" s="90">
        <v>3</v>
      </c>
      <c r="H5" s="299">
        <v>1</v>
      </c>
      <c r="I5" s="156">
        <f t="shared" si="0"/>
        <v>100</v>
      </c>
      <c r="J5" s="217"/>
      <c r="K5" s="322" t="s">
        <v>40</v>
      </c>
      <c r="L5" s="323">
        <v>72</v>
      </c>
      <c r="M5" s="324">
        <f t="shared" si="1"/>
        <v>0.1299638989169675</v>
      </c>
      <c r="N5" s="321"/>
      <c r="O5" s="327" t="s">
        <v>73</v>
      </c>
      <c r="P5" s="328">
        <f t="shared" si="2"/>
        <v>39</v>
      </c>
    </row>
    <row r="6" spans="1:17" ht="20.149999999999999" customHeight="1" x14ac:dyDescent="0.35">
      <c r="A6" s="304" t="s">
        <v>2</v>
      </c>
      <c r="B6" s="220" t="str">
        <f>INDEX(Synthèse!B:B,B5+2)</f>
        <v>Ecole Chabaud</v>
      </c>
      <c r="D6" s="171" cm="1">
        <f t="array" ref="D6">IF(ROW(4:4)&lt;=$E$24, (ROW(4:4)), "")</f>
        <v>4</v>
      </c>
      <c r="E6" s="82">
        <v>5</v>
      </c>
      <c r="F6" s="82">
        <v>10</v>
      </c>
      <c r="G6" s="90" cm="1">
        <f t="array" ref="G6">IF(ISNUMBER($D6),
 IFERROR(
  IF($D6 = MIN(INDEX(Table1,,1)),
     INDEX(Table1,MATCH($D6,INDEX(Table1,,1),0),COLUMN()-3),
     INDEX(Table1,MATCH($D6,INDEX(Table1,,1),0),COLUMN()-3)-INDEX(Table1,MATCH($D6,INDEX(Table1,,1),0)-1,COLUMN()-3)
  ),
  IFERROR(
   IF($D6 = MIN(INDEX(Table2,,1)),
      INDEX(Table2,MATCH($D6,INDEX(Table2,,1),0),COLUMN()-3),
      INDEX(Table2,MATCH($D6,INDEX(Table2,,1),0),COLUMN()-3)-INDEX(Table2,MATCH($D6,INDEX(Table2,,1),0)-1,COLUMN()-3)
   ),
   IFERROR(
    IF($D6 = MIN(INDEX(Table3,,1)),
       INDEX(Table3,MATCH($D6,INDEX(Table3,,1),0),COLUMN()-3),
       INDEX(Table3,MATCH($D6,INDEX(Table3,,1),0),COLUMN()-3)-INDEX(Table3,MATCH($D6,INDEX(Table3,,1),0)-1,COLUMN()-3)
    ),
    0
   )
  )
 ),
0)</f>
        <v>0</v>
      </c>
      <c r="H6" s="299" cm="1">
        <f t="array" ref="H6">IF(ISNUMBER($D6),
 IFERROR(
  IF($D6 = MIN(INDEX(Table1,,1)),
     INDEX(Table1,MATCH($D6,INDEX(Table1,,1),0),COLUMN()-3),
     INDEX(Table1,MATCH($D6,INDEX(Table1,,1),0),COLUMN()-3)-INDEX(Table1,MATCH($D6,INDEX(Table1,,1),0)-1,COLUMN()-3)
  ),
  IFERROR(
   IF($D6 = MIN(INDEX(Table2,,1)),
      INDEX(Table2,MATCH($D6,INDEX(Table2,,1),0),COLUMN()-3),
      INDEX(Table2,MATCH($D6,INDEX(Table2,,1),0),COLUMN()-3)-INDEX(Table2,MATCH($D6,INDEX(Table2,,1),0)-1,COLUMN()-3)
   ),
   IFERROR(
    IF($D6 = MIN(INDEX(Table3,,1)),
       INDEX(Table3,MATCH($D6,INDEX(Table3,,1),0),COLUMN()-3),
       INDEX(Table3,MATCH($D6,INDEX(Table3,,1),0),COLUMN()-3)-INDEX(Table3,MATCH($D6,INDEX(Table3,,1),0)-1,COLUMN()-3)
    ),
    0
   )
  )
 ),
0)</f>
        <v>0</v>
      </c>
      <c r="I6" s="156">
        <f t="shared" si="0"/>
        <v>15</v>
      </c>
      <c r="J6" s="217"/>
      <c r="K6" s="322" t="s">
        <v>41</v>
      </c>
      <c r="L6" s="323">
        <v>123</v>
      </c>
      <c r="M6" s="324">
        <f t="shared" si="1"/>
        <v>0.22202166064981949</v>
      </c>
      <c r="N6" s="321"/>
      <c r="O6" s="327" t="s">
        <v>74</v>
      </c>
      <c r="P6" s="328">
        <f t="shared" si="2"/>
        <v>51</v>
      </c>
    </row>
    <row r="7" spans="1:17" ht="20.149999999999999" customHeight="1" x14ac:dyDescent="0.35">
      <c r="A7" s="304" t="s">
        <v>3</v>
      </c>
      <c r="B7" s="99">
        <f>INDEX(Synthèse!C:C,B5+2)</f>
        <v>554</v>
      </c>
      <c r="D7" s="171" t="str" cm="1">
        <f t="array" ref="D7">IF(ROW(5:5)&lt;=$E$24, (ROW(5:5)), "")</f>
        <v/>
      </c>
      <c r="E7" s="82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82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0</v>
      </c>
      <c r="J7" s="217"/>
      <c r="K7" s="322" t="s">
        <v>42</v>
      </c>
      <c r="L7" s="323">
        <v>180</v>
      </c>
      <c r="M7" s="324">
        <f t="shared" si="1"/>
        <v>0.32490974729241878</v>
      </c>
      <c r="N7" s="321"/>
      <c r="O7" s="327" t="s">
        <v>75</v>
      </c>
      <c r="P7" s="328">
        <f t="shared" si="2"/>
        <v>57</v>
      </c>
    </row>
    <row r="8" spans="1:17" ht="20.149999999999999" customHeight="1" x14ac:dyDescent="0.35">
      <c r="A8" s="304" t="s">
        <v>5</v>
      </c>
      <c r="B8" s="85">
        <f>MAX(L4:L15)</f>
        <v>316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212</v>
      </c>
      <c r="M8" s="324">
        <f t="shared" si="1"/>
        <v>0.38267148014440433</v>
      </c>
      <c r="N8" s="321"/>
      <c r="O8" s="327" t="s">
        <v>76</v>
      </c>
      <c r="P8" s="328">
        <f t="shared" si="2"/>
        <v>32</v>
      </c>
    </row>
    <row r="9" spans="1:17" ht="20.149999999999999" customHeight="1" x14ac:dyDescent="0.35">
      <c r="A9" s="304" t="s">
        <v>4</v>
      </c>
      <c r="B9" s="86">
        <v>316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232</v>
      </c>
      <c r="M9" s="324">
        <f t="shared" si="1"/>
        <v>0.41877256317689532</v>
      </c>
      <c r="N9" s="321"/>
      <c r="O9" s="327" t="s">
        <v>77</v>
      </c>
      <c r="P9" s="328">
        <f t="shared" si="2"/>
        <v>20</v>
      </c>
    </row>
    <row r="10" spans="1:17" ht="20.149999999999999" customHeight="1" thickBot="1" x14ac:dyDescent="0.4">
      <c r="A10" s="305" t="s">
        <v>6</v>
      </c>
      <c r="B10" s="87">
        <f>B7-B8</f>
        <v>238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255</v>
      </c>
      <c r="M10" s="324">
        <f t="shared" si="1"/>
        <v>0.46028880866425992</v>
      </c>
      <c r="N10" s="321"/>
      <c r="O10" s="327" t="s">
        <v>78</v>
      </c>
      <c r="P10" s="328">
        <f t="shared" si="2"/>
        <v>23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279</v>
      </c>
      <c r="M11" s="324">
        <f t="shared" si="1"/>
        <v>0.50361010830324915</v>
      </c>
      <c r="N11" s="321"/>
      <c r="O11" s="327" t="s">
        <v>79</v>
      </c>
      <c r="P11" s="328">
        <f t="shared" si="2"/>
        <v>24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302</v>
      </c>
      <c r="M12" s="324">
        <f t="shared" si="1"/>
        <v>0.54512635379061369</v>
      </c>
      <c r="N12" s="321"/>
      <c r="O12" s="327" t="s">
        <v>80</v>
      </c>
      <c r="P12" s="328">
        <f t="shared" si="2"/>
        <v>23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 t="shared" ref="E13:F13" si="3">SUM(E3:E12)</f>
        <v>148</v>
      </c>
      <c r="F13" s="312">
        <f t="shared" si="3"/>
        <v>156</v>
      </c>
      <c r="G13" s="313">
        <f>SUM(G3:G12)</f>
        <v>8</v>
      </c>
      <c r="H13" s="314">
        <f>SUM(H3:H12)</f>
        <v>4</v>
      </c>
      <c r="I13" s="308">
        <f t="shared" si="0"/>
        <v>316</v>
      </c>
      <c r="J13" s="217"/>
      <c r="K13" s="322" t="s">
        <v>48</v>
      </c>
      <c r="L13" s="323">
        <v>316</v>
      </c>
      <c r="M13" s="324">
        <f t="shared" si="1"/>
        <v>0.5703971119133574</v>
      </c>
      <c r="N13" s="321"/>
      <c r="O13" s="329" t="s">
        <v>81</v>
      </c>
      <c r="P13" s="330">
        <f t="shared" si="2"/>
        <v>14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0.46835443037974683</v>
      </c>
      <c r="F14" s="316">
        <f>IFERROR(F13/$B$8,0)</f>
        <v>0.49367088607594939</v>
      </c>
      <c r="G14" s="315">
        <f>IFERROR(G13/$B$8,0)</f>
        <v>2.5316455696202531E-2</v>
      </c>
      <c r="H14" s="317">
        <f>IFERROR(H13/$B$8,0)</f>
        <v>1.2658227848101266E-2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6</v>
      </c>
      <c r="E24" s="192">
        <f>CEILING($B$8,100)/100</f>
        <v>4</v>
      </c>
      <c r="F24" s="192"/>
      <c r="J24" s="216"/>
    </row>
    <row r="25" spans="1:10" ht="13" x14ac:dyDescent="0.25">
      <c r="D25" s="192">
        <f>MOD($B$8,100)</f>
        <v>16</v>
      </c>
      <c r="E25" s="148">
        <f>CEILING($B$7/300,1)</f>
        <v>2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4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5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5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5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5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5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5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5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5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5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5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6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7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6wKeMZiBhFBkR64I26/Yxptqnpy/DPrZm3no/TXQaPVevgkqED7NWXmOEnBUK1/GTnIRJW2A27NiavcsPtKcEg==" saltValue="DCyxWsZZ5kpemFz0bTu3Rw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371" priority="1" operator="equal">
      <formula>0</formula>
    </cfRule>
    <cfRule type="cellIs" dxfId="370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369" priority="18">
      <formula>($D3&gt;$E$24)</formula>
    </cfRule>
  </conditionalFormatting>
  <conditionalFormatting sqref="E3:H12">
    <cfRule type="expression" dxfId="368" priority="17">
      <formula>($D3&lt;=$E$24)</formula>
    </cfRule>
  </conditionalFormatting>
  <conditionalFormatting sqref="E50:H59 E68:H72 E78:H80">
    <cfRule type="expression" dxfId="367" priority="26">
      <formula>($D50&lt;=$E$24)</formula>
    </cfRule>
    <cfRule type="expression" dxfId="366" priority="27">
      <formula>($D50&gt;$E$24)</formula>
    </cfRule>
  </conditionalFormatting>
  <conditionalFormatting sqref="E50:H59">
    <cfRule type="expression" dxfId="365" priority="3">
      <formula>AND(E50&lt;MAX(E$50:E50), NOT(ISBLANK(E50)), NOT(E50=0))</formula>
    </cfRule>
  </conditionalFormatting>
  <conditionalFormatting sqref="E68:H72">
    <cfRule type="expression" dxfId="364" priority="2">
      <formula>AND(E68&lt;MAX(E$68:E68), NOT(ISBLANK(E68)), NOT(E68=0))</formula>
    </cfRule>
  </conditionalFormatting>
  <conditionalFormatting sqref="E78:H80 E50:H59 E68:H72">
    <cfRule type="cellIs" dxfId="363" priority="25" operator="notBetween">
      <formula>0</formula>
      <formula>$B$8</formula>
    </cfRule>
  </conditionalFormatting>
  <conditionalFormatting sqref="E78:H80">
    <cfRule type="expression" dxfId="362" priority="13">
      <formula>AND(E78&lt;MAX(E$78:E78), NOT(ISBLANK(E78)), NOT(E78=0))</formula>
    </cfRule>
  </conditionalFormatting>
  <conditionalFormatting sqref="E3:I12">
    <cfRule type="cellIs" dxfId="361" priority="5" operator="notBetween">
      <formula>0</formula>
      <formula>100</formula>
    </cfRule>
  </conditionalFormatting>
  <conditionalFormatting sqref="E3:I14">
    <cfRule type="cellIs" dxfId="360" priority="8" operator="lessThan">
      <formula>0</formula>
    </cfRule>
  </conditionalFormatting>
  <conditionalFormatting sqref="E14:I14">
    <cfRule type="cellIs" dxfId="359" priority="11" operator="greaterThan">
      <formula>1</formula>
    </cfRule>
  </conditionalFormatting>
  <conditionalFormatting sqref="I3:I12">
    <cfRule type="expression" dxfId="358" priority="14">
      <formula>AND($D3=$E$24, I3=$D$25)</formula>
    </cfRule>
    <cfRule type="expression" dxfId="357" priority="15">
      <formula>AND($D3=$E$24, MOD(I3,100)&gt;$D$25)</formula>
    </cfRule>
    <cfRule type="cellIs" dxfId="356" priority="16" operator="equal">
      <formula>100</formula>
    </cfRule>
  </conditionalFormatting>
  <conditionalFormatting sqref="I3:I13">
    <cfRule type="cellIs" dxfId="355" priority="9" operator="equal">
      <formula>0</formula>
    </cfRule>
  </conditionalFormatting>
  <conditionalFormatting sqref="I13">
    <cfRule type="cellIs" dxfId="354" priority="24" operator="equal">
      <formula>$B$8</formula>
    </cfRule>
  </conditionalFormatting>
  <conditionalFormatting sqref="I14">
    <cfRule type="cellIs" dxfId="353" priority="10" operator="equal">
      <formula>1</formula>
    </cfRule>
    <cfRule type="cellIs" dxfId="352" priority="12" operator="lessThan">
      <formula>1</formula>
    </cfRule>
  </conditionalFormatting>
  <conditionalFormatting sqref="I50 I52:I59 I68:I72 I78:I80">
    <cfRule type="cellIs" dxfId="351" priority="21" operator="lessThan">
      <formula>0</formula>
    </cfRule>
    <cfRule type="cellIs" dxfId="350" priority="22" operator="equal">
      <formula>0</formula>
    </cfRule>
    <cfRule type="expression" dxfId="349" priority="23">
      <formula>OR(MOD($I50,100)=0,AND($D50=$E$24,MOD($I50,100)=$D$25))</formula>
    </cfRule>
  </conditionalFormatting>
  <conditionalFormatting sqref="I51">
    <cfRule type="cellIs" dxfId="348" priority="28" operator="notBetween">
      <formula>0</formula>
      <formula>$B$8</formula>
    </cfRule>
    <cfRule type="cellIs" dxfId="347" priority="29" operator="equal">
      <formula>0</formula>
    </cfRule>
    <cfRule type="expression" dxfId="346" priority="30">
      <formula>OR(MOD($I51,100)=0,AND($D51=$E$24,MOD($I51,100)=$D$25))</formula>
    </cfRule>
  </conditionalFormatting>
  <conditionalFormatting sqref="L4:L15">
    <cfRule type="expression" dxfId="345" priority="31">
      <formula>AND($L4&lt;$L3, NOT(ISBLANK($L4)))</formula>
    </cfRule>
    <cfRule type="cellIs" dxfId="344" priority="32" operator="greaterThan">
      <formula>$B$7</formula>
    </cfRule>
  </conditionalFormatting>
  <conditionalFormatting sqref="M4:M15">
    <cfRule type="cellIs" dxfId="343" priority="7" operator="greaterThan">
      <formula>1</formula>
    </cfRule>
  </conditionalFormatting>
  <dataValidations count="2">
    <dataValidation type="list" allowBlank="1" showInputMessage="1" showErrorMessage="1" sqref="C50:C59" xr:uid="{A69163E6-FB15-4345-8192-87CC1B2783B5}">
      <formula1>$D$19:$D$21</formula1>
    </dataValidation>
    <dataValidation type="list" allowBlank="1" showInputMessage="1" showErrorMessage="1" sqref="D68:D72 D78:D82 D50:D59" xr:uid="{8496F96B-D44F-4B39-AE1B-B5CE79FEA284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11BC-85B6-4A9E-BFF0-6C0CD0A16D56}">
  <sheetPr codeName="Feuil44">
    <tabColor rgb="FFB4A7D6"/>
  </sheetPr>
  <dimension ref="A1:Q82"/>
  <sheetViews>
    <sheetView workbookViewId="0">
      <selection activeCell="B9" sqref="B9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45</v>
      </c>
      <c r="F3" s="81">
        <v>51</v>
      </c>
      <c r="G3" s="89">
        <v>3</v>
      </c>
      <c r="H3" s="300">
        <v>1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38</v>
      </c>
      <c r="F4" s="82">
        <v>57</v>
      </c>
      <c r="G4" s="83">
        <v>3</v>
      </c>
      <c r="H4" s="84">
        <v>2</v>
      </c>
      <c r="I4" s="156">
        <f t="shared" si="0"/>
        <v>100</v>
      </c>
      <c r="J4" s="216"/>
      <c r="K4" s="322" t="s">
        <v>39</v>
      </c>
      <c r="L4" s="323">
        <v>50</v>
      </c>
      <c r="M4" s="324">
        <f t="shared" ref="M4:M15" si="1">IF(OR(L4=0, L4=""), NA(), L4/$B$7)</f>
        <v>6.7567567567567571E-2</v>
      </c>
      <c r="N4" s="321"/>
      <c r="O4" s="325" t="s">
        <v>72</v>
      </c>
      <c r="P4" s="326">
        <f t="shared" ref="P4:P13" si="2">IF(L4&lt;&gt;0,L4-L3,NA())</f>
        <v>50</v>
      </c>
    </row>
    <row r="5" spans="1:17" ht="20.149999999999999" customHeight="1" x14ac:dyDescent="0.35">
      <c r="A5" s="303" t="s">
        <v>91</v>
      </c>
      <c r="B5" s="219">
        <v>2</v>
      </c>
      <c r="D5" s="171" cm="1">
        <f t="array" ref="D5">IF(ROW(3:3)&lt;=$E$24, (ROW(3:3)), "")</f>
        <v>3</v>
      </c>
      <c r="E5" s="82">
        <v>54</v>
      </c>
      <c r="F5" s="82">
        <v>43</v>
      </c>
      <c r="G5" s="90">
        <v>3</v>
      </c>
      <c r="H5" s="299" cm="1">
        <f t="array" ref="H5">IF(ISNUMBER($D5),
 IFERROR(
  IF($D5 = MIN(INDEX(Table1,,1)),
     INDEX(Table1,MATCH($D5,INDEX(Table1,,1),0),COLUMN()-3),
     INDEX(Table1,MATCH($D5,INDEX(Table1,,1),0),COLUMN()-3)-INDEX(Table1,MATCH($D5,INDEX(Table1,,1),0)-1,COLUMN()-3)
  ),
  IFERROR(
   IF($D5 = MIN(INDEX(Table2,,1)),
      INDEX(Table2,MATCH($D5,INDEX(Table2,,1),0),COLUMN()-3),
      INDEX(Table2,MATCH($D5,INDEX(Table2,,1),0),COLUMN()-3)-INDEX(Table2,MATCH($D5,INDEX(Table2,,1),0)-1,COLUMN()-3)
   ),
   IFERROR(
    IF($D5 = MIN(INDEX(Table3,,1)),
       INDEX(Table3,MATCH($D5,INDEX(Table3,,1),0),COLUMN()-3),
       INDEX(Table3,MATCH($D5,INDEX(Table3,,1),0),COLUMN()-3)-INDEX(Table3,MATCH($D5,INDEX(Table3,,1),0)-1,COLUMN()-3)
    ),
    0
   )
  )
 ),
0)</f>
        <v>0</v>
      </c>
      <c r="I5" s="156">
        <f t="shared" si="0"/>
        <v>100</v>
      </c>
      <c r="J5" s="217"/>
      <c r="K5" s="322" t="s">
        <v>40</v>
      </c>
      <c r="L5" s="323">
        <v>90</v>
      </c>
      <c r="M5" s="324">
        <f t="shared" si="1"/>
        <v>0.12162162162162163</v>
      </c>
      <c r="N5" s="321"/>
      <c r="O5" s="327" t="s">
        <v>73</v>
      </c>
      <c r="P5" s="328">
        <f t="shared" si="2"/>
        <v>40</v>
      </c>
    </row>
    <row r="6" spans="1:17" ht="20.149999999999999" customHeight="1" x14ac:dyDescent="0.35">
      <c r="A6" s="304" t="s">
        <v>2</v>
      </c>
      <c r="B6" s="220" t="str">
        <f>INDEX(Synthèse!B:B,B5+2)</f>
        <v>Gymnase B</v>
      </c>
      <c r="D6" s="171" cm="1">
        <f t="array" ref="D6">IF(ROW(4:4)&lt;=$E$24, (ROW(4:4)), "")</f>
        <v>4</v>
      </c>
      <c r="E6" s="82">
        <v>46</v>
      </c>
      <c r="F6" s="82">
        <v>47</v>
      </c>
      <c r="G6" s="90">
        <v>1</v>
      </c>
      <c r="H6" s="299">
        <v>6</v>
      </c>
      <c r="I6" s="156">
        <f t="shared" si="0"/>
        <v>100</v>
      </c>
      <c r="J6" s="217"/>
      <c r="K6" s="322" t="s">
        <v>41</v>
      </c>
      <c r="L6" s="323">
        <v>170</v>
      </c>
      <c r="M6" s="324">
        <f t="shared" si="1"/>
        <v>0.22972972972972974</v>
      </c>
      <c r="N6" s="321"/>
      <c r="O6" s="327" t="s">
        <v>74</v>
      </c>
      <c r="P6" s="328">
        <f t="shared" si="2"/>
        <v>80</v>
      </c>
    </row>
    <row r="7" spans="1:17" ht="20.149999999999999" customHeight="1" x14ac:dyDescent="0.35">
      <c r="A7" s="304" t="s">
        <v>3</v>
      </c>
      <c r="B7" s="99">
        <f>INDEX(Synthèse!C:C,B5+2)</f>
        <v>740</v>
      </c>
      <c r="D7" s="171" cm="1">
        <f t="array" ref="D7">IF(ROW(5:5)&lt;=$E$24, (ROW(5:5)), "")</f>
        <v>5</v>
      </c>
      <c r="E7" s="82">
        <v>14</v>
      </c>
      <c r="F7" s="82">
        <v>19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33</v>
      </c>
      <c r="J7" s="217"/>
      <c r="K7" s="322" t="s">
        <v>42</v>
      </c>
      <c r="L7" s="323">
        <v>230</v>
      </c>
      <c r="M7" s="324">
        <f t="shared" si="1"/>
        <v>0.3108108108108108</v>
      </c>
      <c r="N7" s="321"/>
      <c r="O7" s="327" t="s">
        <v>75</v>
      </c>
      <c r="P7" s="328">
        <f t="shared" si="2"/>
        <v>60</v>
      </c>
    </row>
    <row r="8" spans="1:17" ht="20.149999999999999" customHeight="1" x14ac:dyDescent="0.35">
      <c r="A8" s="304" t="s">
        <v>5</v>
      </c>
      <c r="B8" s="85">
        <f>MAX(L4:L15)</f>
        <v>433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288</v>
      </c>
      <c r="M8" s="324">
        <f t="shared" si="1"/>
        <v>0.38918918918918921</v>
      </c>
      <c r="N8" s="321"/>
      <c r="O8" s="327" t="s">
        <v>76</v>
      </c>
      <c r="P8" s="328">
        <f t="shared" si="2"/>
        <v>58</v>
      </c>
    </row>
    <row r="9" spans="1:17" ht="20.149999999999999" customHeight="1" x14ac:dyDescent="0.35">
      <c r="A9" s="304" t="s">
        <v>4</v>
      </c>
      <c r="B9" s="86">
        <v>433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314</v>
      </c>
      <c r="M9" s="324">
        <f t="shared" si="1"/>
        <v>0.42432432432432432</v>
      </c>
      <c r="N9" s="321"/>
      <c r="O9" s="327" t="s">
        <v>77</v>
      </c>
      <c r="P9" s="328">
        <f t="shared" si="2"/>
        <v>26</v>
      </c>
    </row>
    <row r="10" spans="1:17" ht="20.149999999999999" customHeight="1" thickBot="1" x14ac:dyDescent="0.4">
      <c r="A10" s="305" t="s">
        <v>6</v>
      </c>
      <c r="B10" s="87">
        <f>B7-B8</f>
        <v>307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340</v>
      </c>
      <c r="M10" s="324">
        <f t="shared" si="1"/>
        <v>0.45945945945945948</v>
      </c>
      <c r="N10" s="321"/>
      <c r="O10" s="327" t="s">
        <v>78</v>
      </c>
      <c r="P10" s="328">
        <f t="shared" si="2"/>
        <v>26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370</v>
      </c>
      <c r="M11" s="324">
        <f t="shared" si="1"/>
        <v>0.5</v>
      </c>
      <c r="N11" s="321"/>
      <c r="O11" s="327" t="s">
        <v>79</v>
      </c>
      <c r="P11" s="328">
        <f t="shared" si="2"/>
        <v>30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402</v>
      </c>
      <c r="M12" s="324">
        <f t="shared" si="1"/>
        <v>0.54324324324324325</v>
      </c>
      <c r="N12" s="321"/>
      <c r="O12" s="327" t="s">
        <v>80</v>
      </c>
      <c r="P12" s="328">
        <f t="shared" si="2"/>
        <v>32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197</v>
      </c>
      <c r="F13" s="312">
        <f t="shared" ref="F13:H13" si="3">SUM(F3:F12)</f>
        <v>217</v>
      </c>
      <c r="G13" s="313">
        <f t="shared" si="3"/>
        <v>10</v>
      </c>
      <c r="H13" s="314">
        <f t="shared" si="3"/>
        <v>9</v>
      </c>
      <c r="I13" s="308">
        <f t="shared" si="0"/>
        <v>433</v>
      </c>
      <c r="J13" s="217"/>
      <c r="K13" s="322" t="s">
        <v>48</v>
      </c>
      <c r="L13" s="323">
        <v>433</v>
      </c>
      <c r="M13" s="324">
        <f t="shared" si="1"/>
        <v>0.58513513513513515</v>
      </c>
      <c r="N13" s="321"/>
      <c r="O13" s="329" t="s">
        <v>81</v>
      </c>
      <c r="P13" s="330">
        <f t="shared" si="2"/>
        <v>31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0.45496535796766746</v>
      </c>
      <c r="F14" s="316">
        <f>IFERROR(F13/$B$8,0)</f>
        <v>0.50115473441108549</v>
      </c>
      <c r="G14" s="315">
        <f>IFERROR(G13/$B$8,0)</f>
        <v>2.3094688221709007E-2</v>
      </c>
      <c r="H14" s="317">
        <f>IFERROR(H13/$B$8,0)</f>
        <v>2.0785219399538105E-2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8</v>
      </c>
      <c r="E24" s="192">
        <f>CEILING($B$8,100)/100</f>
        <v>5</v>
      </c>
      <c r="F24" s="192"/>
      <c r="J24" s="216"/>
    </row>
    <row r="25" spans="1:10" ht="13" x14ac:dyDescent="0.25">
      <c r="D25" s="192">
        <f>MOD($B$8,100)</f>
        <v>33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4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5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5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5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5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5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5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5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5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5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5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6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7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sbov8iIwZRI5Rv87j4S0A24kkdEWcPH4snc7dXZWM2OzjvnFdlZYjt1xf/jNM8UUPsAS3rV5ONZiVXbbmgcUtw==" saltValue="56rh7ajz+kdDpYMRZyEmow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342" priority="1" operator="equal">
      <formula>0</formula>
    </cfRule>
    <cfRule type="cellIs" dxfId="341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340" priority="18">
      <formula>($D3&gt;$E$24)</formula>
    </cfRule>
  </conditionalFormatting>
  <conditionalFormatting sqref="E3:H12">
    <cfRule type="expression" dxfId="339" priority="17">
      <formula>($D3&lt;=$E$24)</formula>
    </cfRule>
  </conditionalFormatting>
  <conditionalFormatting sqref="E50:H59 E68:H72 E78:H80">
    <cfRule type="expression" dxfId="338" priority="26">
      <formula>($D50&lt;=$E$24)</formula>
    </cfRule>
    <cfRule type="expression" dxfId="337" priority="27">
      <formula>($D50&gt;$E$24)</formula>
    </cfRule>
  </conditionalFormatting>
  <conditionalFormatting sqref="E50:H59">
    <cfRule type="expression" dxfId="336" priority="3">
      <formula>AND(E50&lt;MAX(E$50:E50), NOT(ISBLANK(E50)), NOT(E50=0))</formula>
    </cfRule>
  </conditionalFormatting>
  <conditionalFormatting sqref="E68:H72">
    <cfRule type="expression" dxfId="335" priority="2">
      <formula>AND(E68&lt;MAX(E$68:E68), NOT(ISBLANK(E68)), NOT(E68=0))</formula>
    </cfRule>
  </conditionalFormatting>
  <conditionalFormatting sqref="E78:H80 E50:H59 E68:H72">
    <cfRule type="cellIs" dxfId="334" priority="25" operator="notBetween">
      <formula>0</formula>
      <formula>$B$8</formula>
    </cfRule>
  </conditionalFormatting>
  <conditionalFormatting sqref="E78:H80">
    <cfRule type="expression" dxfId="333" priority="13">
      <formula>AND(E78&lt;MAX(E$78:E78), NOT(ISBLANK(E78)), NOT(E78=0))</formula>
    </cfRule>
  </conditionalFormatting>
  <conditionalFormatting sqref="E3:I12">
    <cfRule type="cellIs" dxfId="332" priority="5" operator="notBetween">
      <formula>0</formula>
      <formula>100</formula>
    </cfRule>
  </conditionalFormatting>
  <conditionalFormatting sqref="E3:I14">
    <cfRule type="cellIs" dxfId="331" priority="8" operator="lessThan">
      <formula>0</formula>
    </cfRule>
  </conditionalFormatting>
  <conditionalFormatting sqref="E14:I14">
    <cfRule type="cellIs" dxfId="330" priority="11" operator="greaterThan">
      <formula>1</formula>
    </cfRule>
  </conditionalFormatting>
  <conditionalFormatting sqref="I3:I12">
    <cfRule type="expression" dxfId="329" priority="14">
      <formula>AND($D3=$E$24, I3=$D$25)</formula>
    </cfRule>
    <cfRule type="expression" dxfId="328" priority="15">
      <formula>AND($D3=$E$24, MOD(I3,100)&gt;$D$25)</formula>
    </cfRule>
    <cfRule type="cellIs" dxfId="327" priority="16" operator="equal">
      <formula>100</formula>
    </cfRule>
  </conditionalFormatting>
  <conditionalFormatting sqref="I3:I13">
    <cfRule type="cellIs" dxfId="326" priority="9" operator="equal">
      <formula>0</formula>
    </cfRule>
  </conditionalFormatting>
  <conditionalFormatting sqref="I13">
    <cfRule type="cellIs" dxfId="325" priority="24" operator="equal">
      <formula>$B$8</formula>
    </cfRule>
  </conditionalFormatting>
  <conditionalFormatting sqref="I14">
    <cfRule type="cellIs" dxfId="324" priority="10" operator="equal">
      <formula>1</formula>
    </cfRule>
    <cfRule type="cellIs" dxfId="323" priority="12" operator="lessThan">
      <formula>1</formula>
    </cfRule>
  </conditionalFormatting>
  <conditionalFormatting sqref="I50 I52:I59 I68:I72 I78:I80">
    <cfRule type="cellIs" dxfId="322" priority="21" operator="lessThan">
      <formula>0</formula>
    </cfRule>
    <cfRule type="cellIs" dxfId="321" priority="22" operator="equal">
      <formula>0</formula>
    </cfRule>
    <cfRule type="expression" dxfId="320" priority="23">
      <formula>OR(MOD($I50,100)=0,AND($D50=$E$24,MOD($I50,100)=$D$25))</formula>
    </cfRule>
  </conditionalFormatting>
  <conditionalFormatting sqref="I51">
    <cfRule type="cellIs" dxfId="319" priority="28" operator="notBetween">
      <formula>0</formula>
      <formula>$B$8</formula>
    </cfRule>
    <cfRule type="cellIs" dxfId="318" priority="29" operator="equal">
      <formula>0</formula>
    </cfRule>
    <cfRule type="expression" dxfId="317" priority="30">
      <formula>OR(MOD($I51,100)=0,AND($D51=$E$24,MOD($I51,100)=$D$25))</formula>
    </cfRule>
  </conditionalFormatting>
  <conditionalFormatting sqref="L4:L15">
    <cfRule type="expression" dxfId="316" priority="31">
      <formula>AND($L4&lt;$L3, NOT(ISBLANK($L4)))</formula>
    </cfRule>
    <cfRule type="cellIs" dxfId="315" priority="32" operator="greaterThan">
      <formula>$B$7</formula>
    </cfRule>
  </conditionalFormatting>
  <conditionalFormatting sqref="M4:M15">
    <cfRule type="cellIs" dxfId="314" priority="7" operator="greaterThan">
      <formula>1</formula>
    </cfRule>
  </conditionalFormatting>
  <dataValidations count="2">
    <dataValidation type="list" allowBlank="1" showInputMessage="1" showErrorMessage="1" sqref="C50:C59" xr:uid="{AB1260FB-7203-4C44-87E6-EE03F4B3DD6F}">
      <formula1>$D$19:$D$21</formula1>
    </dataValidation>
    <dataValidation type="list" allowBlank="1" showInputMessage="1" showErrorMessage="1" sqref="D68:D72 D78:D82 D50:D59" xr:uid="{E25746C7-1928-43AB-9B68-A32B9C861E04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4997-D278-4C55-86E7-38B75C6ECD83}">
  <sheetPr codeName="Feuil45">
    <tabColor rgb="FFB4A7D6"/>
  </sheetPr>
  <dimension ref="A1:Q82"/>
  <sheetViews>
    <sheetView workbookViewId="0">
      <selection activeCell="B10" sqref="B10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41</v>
      </c>
      <c r="F3" s="81">
        <v>56</v>
      </c>
      <c r="G3" s="89">
        <v>1</v>
      </c>
      <c r="H3" s="300">
        <v>2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42</v>
      </c>
      <c r="F4" s="82">
        <v>57</v>
      </c>
      <c r="G4" s="83" cm="1">
        <f t="array" ref="G4">IF(ISNUMBER($D4),
 IFERROR(
  IF($D4 = MIN(INDEX(Table1,,1)),
     INDEX(Table1,MATCH($D4,INDEX(Table1,,1),0),COLUMN()-3),
     INDEX(Table1,MATCH($D4,INDEX(Table1,,1),0),COLUMN()-3)-INDEX(Table1,MATCH($D4,INDEX(Table1,,1),0)-1,COLUMN()-3)
  ),
  IFERROR(
   IF($D4 = MIN(INDEX(Table2,,1)),
      INDEX(Table2,MATCH($D4,INDEX(Table2,,1),0),COLUMN()-3),
      INDEX(Table2,MATCH($D4,INDEX(Table2,,1),0),COLUMN()-3)-INDEX(Table2,MATCH($D4,INDEX(Table2,,1),0)-1,COLUMN()-3)
   ),
   IFERROR(
    IF($D4 = MIN(INDEX(Table3,,1)),
       INDEX(Table3,MATCH($D4,INDEX(Table3,,1),0),COLUMN()-3),
       INDEX(Table3,MATCH($D4,INDEX(Table3,,1),0),COLUMN()-3)-INDEX(Table3,MATCH($D4,INDEX(Table3,,1),0)-1,COLUMN()-3)
    ),
    0
   )
  )
 ),
0)</f>
        <v>0</v>
      </c>
      <c r="H4" s="84">
        <v>1</v>
      </c>
      <c r="I4" s="156">
        <f t="shared" si="0"/>
        <v>100</v>
      </c>
      <c r="J4" s="216"/>
      <c r="K4" s="322" t="s">
        <v>39</v>
      </c>
      <c r="L4" s="323">
        <v>50</v>
      </c>
      <c r="M4" s="324">
        <f t="shared" ref="M4:M15" si="1">IF(OR(L4=0, L4=""), NA(), L4/$B$7)</f>
        <v>7.0028011204481794E-2</v>
      </c>
      <c r="N4" s="321"/>
      <c r="O4" s="325" t="s">
        <v>72</v>
      </c>
      <c r="P4" s="326">
        <f t="shared" ref="P4:P13" si="2">IF(L4&lt;&gt;0,L4-L3,NA())</f>
        <v>50</v>
      </c>
    </row>
    <row r="5" spans="1:17" ht="20.149999999999999" customHeight="1" x14ac:dyDescent="0.35">
      <c r="A5" s="303" t="s">
        <v>91</v>
      </c>
      <c r="B5" s="219">
        <v>3</v>
      </c>
      <c r="D5" s="171" cm="1">
        <f t="array" ref="D5">IF(ROW(3:3)&lt;=$E$24, (ROW(3:3)), "")</f>
        <v>3</v>
      </c>
      <c r="E5" s="82">
        <v>43</v>
      </c>
      <c r="F5" s="82">
        <v>54</v>
      </c>
      <c r="G5" s="90">
        <v>1</v>
      </c>
      <c r="H5" s="299">
        <v>2</v>
      </c>
      <c r="I5" s="156">
        <f t="shared" si="0"/>
        <v>100</v>
      </c>
      <c r="J5" s="217"/>
      <c r="K5" s="322" t="s">
        <v>40</v>
      </c>
      <c r="L5" s="323">
        <v>100</v>
      </c>
      <c r="M5" s="324">
        <f t="shared" si="1"/>
        <v>0.14005602240896359</v>
      </c>
      <c r="N5" s="321"/>
      <c r="O5" s="327" t="s">
        <v>73</v>
      </c>
      <c r="P5" s="328">
        <f t="shared" si="2"/>
        <v>50</v>
      </c>
    </row>
    <row r="6" spans="1:17" ht="20.149999999999999" customHeight="1" x14ac:dyDescent="0.35">
      <c r="A6" s="304" t="s">
        <v>2</v>
      </c>
      <c r="B6" s="220" t="str">
        <f>INDEX(Synthèse!B:B,B5+2)</f>
        <v>Gymnase B</v>
      </c>
      <c r="D6" s="171" cm="1">
        <f t="array" ref="D6">IF(ROW(4:4)&lt;=$E$24, (ROW(4:4)), "")</f>
        <v>4</v>
      </c>
      <c r="E6" s="82">
        <v>47</v>
      </c>
      <c r="F6" s="82">
        <v>51</v>
      </c>
      <c r="G6" s="90">
        <v>1</v>
      </c>
      <c r="H6" s="299">
        <v>1</v>
      </c>
      <c r="I6" s="156">
        <f t="shared" si="0"/>
        <v>100</v>
      </c>
      <c r="J6" s="217"/>
      <c r="K6" s="322" t="s">
        <v>41</v>
      </c>
      <c r="L6" s="323">
        <v>180</v>
      </c>
      <c r="M6" s="324">
        <f t="shared" si="1"/>
        <v>0.25210084033613445</v>
      </c>
      <c r="N6" s="321"/>
      <c r="O6" s="327" t="s">
        <v>74</v>
      </c>
      <c r="P6" s="328">
        <f t="shared" si="2"/>
        <v>80</v>
      </c>
    </row>
    <row r="7" spans="1:17" ht="20.149999999999999" customHeight="1" x14ac:dyDescent="0.35">
      <c r="A7" s="304" t="s">
        <v>3</v>
      </c>
      <c r="B7" s="99">
        <f>INDEX(Synthèse!C:C,B5+2)</f>
        <v>714</v>
      </c>
      <c r="D7" s="171" cm="1">
        <f t="array" ref="D7">IF(ROW(5:5)&lt;=$E$24, (ROW(5:5)), "")</f>
        <v>5</v>
      </c>
      <c r="E7" s="82">
        <v>33</v>
      </c>
      <c r="F7" s="82">
        <v>47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80</v>
      </c>
      <c r="J7" s="217"/>
      <c r="K7" s="322" t="s">
        <v>42</v>
      </c>
      <c r="L7" s="323">
        <v>260</v>
      </c>
      <c r="M7" s="324">
        <f t="shared" si="1"/>
        <v>0.36414565826330531</v>
      </c>
      <c r="N7" s="321"/>
      <c r="O7" s="327" t="s">
        <v>75</v>
      </c>
      <c r="P7" s="328">
        <f t="shared" si="2"/>
        <v>80</v>
      </c>
    </row>
    <row r="8" spans="1:17" ht="20.149999999999999" customHeight="1" x14ac:dyDescent="0.35">
      <c r="A8" s="304" t="s">
        <v>5</v>
      </c>
      <c r="B8" s="85">
        <f>MAX(L4:L15)</f>
        <v>480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310</v>
      </c>
      <c r="M8" s="324">
        <f t="shared" si="1"/>
        <v>0.43417366946778713</v>
      </c>
      <c r="N8" s="321"/>
      <c r="O8" s="327" t="s">
        <v>76</v>
      </c>
      <c r="P8" s="328">
        <f t="shared" si="2"/>
        <v>50</v>
      </c>
    </row>
    <row r="9" spans="1:17" ht="20.149999999999999" customHeight="1" x14ac:dyDescent="0.35">
      <c r="A9" s="304" t="s">
        <v>4</v>
      </c>
      <c r="B9" s="86">
        <v>480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330</v>
      </c>
      <c r="M9" s="324">
        <f t="shared" si="1"/>
        <v>0.46218487394957986</v>
      </c>
      <c r="N9" s="321"/>
      <c r="O9" s="327" t="s">
        <v>77</v>
      </c>
      <c r="P9" s="328">
        <f t="shared" si="2"/>
        <v>20</v>
      </c>
    </row>
    <row r="10" spans="1:17" ht="20.149999999999999" customHeight="1" thickBot="1" x14ac:dyDescent="0.4">
      <c r="A10" s="305" t="s">
        <v>6</v>
      </c>
      <c r="B10" s="87">
        <f>B7-B8</f>
        <v>234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370</v>
      </c>
      <c r="M10" s="324">
        <f t="shared" si="1"/>
        <v>0.51820728291316531</v>
      </c>
      <c r="N10" s="321"/>
      <c r="O10" s="327" t="s">
        <v>78</v>
      </c>
      <c r="P10" s="328">
        <f t="shared" si="2"/>
        <v>40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420</v>
      </c>
      <c r="M11" s="324">
        <f t="shared" si="1"/>
        <v>0.58823529411764708</v>
      </c>
      <c r="N11" s="321"/>
      <c r="O11" s="327" t="s">
        <v>79</v>
      </c>
      <c r="P11" s="328">
        <f t="shared" si="2"/>
        <v>50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460</v>
      </c>
      <c r="M12" s="324">
        <f t="shared" si="1"/>
        <v>0.64425770308123254</v>
      </c>
      <c r="N12" s="321"/>
      <c r="O12" s="327" t="s">
        <v>80</v>
      </c>
      <c r="P12" s="328">
        <f t="shared" si="2"/>
        <v>40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206</v>
      </c>
      <c r="F13" s="312">
        <f>SUM(F3:F12)</f>
        <v>265</v>
      </c>
      <c r="G13" s="313">
        <f>SUM(G3:G12)</f>
        <v>3</v>
      </c>
      <c r="H13" s="314">
        <f>SUM(H3:H12)</f>
        <v>6</v>
      </c>
      <c r="I13" s="308">
        <f t="shared" si="0"/>
        <v>480</v>
      </c>
      <c r="J13" s="217"/>
      <c r="K13" s="322" t="s">
        <v>48</v>
      </c>
      <c r="L13" s="323">
        <v>480</v>
      </c>
      <c r="M13" s="324">
        <f t="shared" si="1"/>
        <v>0.67226890756302526</v>
      </c>
      <c r="N13" s="321"/>
      <c r="O13" s="329" t="s">
        <v>81</v>
      </c>
      <c r="P13" s="330">
        <f t="shared" si="2"/>
        <v>20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0.42916666666666664</v>
      </c>
      <c r="F14" s="316">
        <f>IFERROR(F13/$B$8,0)</f>
        <v>0.55208333333333337</v>
      </c>
      <c r="G14" s="315">
        <f>IFERROR(G13/$B$8,0)</f>
        <v>6.2500000000000003E-3</v>
      </c>
      <c r="H14" s="317">
        <f>IFERROR(H13/$B$8,0)</f>
        <v>1.2500000000000001E-2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8</v>
      </c>
      <c r="E24" s="192">
        <f>CEILING($B$8,100)/100</f>
        <v>5</v>
      </c>
      <c r="F24" s="192"/>
      <c r="J24" s="216"/>
    </row>
    <row r="25" spans="1:10" ht="13" x14ac:dyDescent="0.25">
      <c r="D25" s="192">
        <f>MOD($B$8,100)</f>
        <v>80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3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4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4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4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4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4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4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4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4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4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4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5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6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zOsSSWEeXnNZEE9JkR/XSyeYVTYAeERiE2kU9L9/yenn/tmwdy3C4LxgbDMFYZVylz0EJY6p5R6jsKCPHNfaiw==" saltValue="J4UdsJlm0rloo4+JWSmdsg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313" priority="1" operator="equal">
      <formula>0</formula>
    </cfRule>
    <cfRule type="cellIs" dxfId="312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311" priority="18">
      <formula>($D3&gt;$E$24)</formula>
    </cfRule>
  </conditionalFormatting>
  <conditionalFormatting sqref="E3:H12">
    <cfRule type="expression" dxfId="310" priority="17">
      <formula>($D3&lt;=$E$24)</formula>
    </cfRule>
  </conditionalFormatting>
  <conditionalFormatting sqref="E50:H59 E68:H72 E78:H80">
    <cfRule type="expression" dxfId="309" priority="26">
      <formula>($D50&lt;=$E$24)</formula>
    </cfRule>
    <cfRule type="expression" dxfId="308" priority="27">
      <formula>($D50&gt;$E$24)</formula>
    </cfRule>
  </conditionalFormatting>
  <conditionalFormatting sqref="E50:H59">
    <cfRule type="expression" dxfId="307" priority="3">
      <formula>AND(E50&lt;MAX(E$50:E50), NOT(ISBLANK(E50)), NOT(E50=0))</formula>
    </cfRule>
  </conditionalFormatting>
  <conditionalFormatting sqref="E68:H72">
    <cfRule type="expression" dxfId="306" priority="2">
      <formula>AND(E68&lt;MAX(E$68:E68), NOT(ISBLANK(E68)), NOT(E68=0))</formula>
    </cfRule>
  </conditionalFormatting>
  <conditionalFormatting sqref="E78:H80 E50:H59 E68:H72">
    <cfRule type="cellIs" dxfId="305" priority="25" operator="notBetween">
      <formula>0</formula>
      <formula>$B$8</formula>
    </cfRule>
  </conditionalFormatting>
  <conditionalFormatting sqref="E78:H80">
    <cfRule type="expression" dxfId="304" priority="13">
      <formula>AND(E78&lt;MAX(E$78:E78), NOT(ISBLANK(E78)), NOT(E78=0))</formula>
    </cfRule>
  </conditionalFormatting>
  <conditionalFormatting sqref="E3:I12">
    <cfRule type="cellIs" dxfId="303" priority="5" operator="notBetween">
      <formula>0</formula>
      <formula>100</formula>
    </cfRule>
  </conditionalFormatting>
  <conditionalFormatting sqref="E3:I14">
    <cfRule type="cellIs" dxfId="302" priority="8" operator="lessThan">
      <formula>0</formula>
    </cfRule>
  </conditionalFormatting>
  <conditionalFormatting sqref="E14:I14">
    <cfRule type="cellIs" dxfId="301" priority="11" operator="greaterThan">
      <formula>1</formula>
    </cfRule>
  </conditionalFormatting>
  <conditionalFormatting sqref="I3:I12">
    <cfRule type="expression" dxfId="300" priority="14">
      <formula>AND($D3=$E$24, I3=$D$25)</formula>
    </cfRule>
    <cfRule type="expression" dxfId="299" priority="15">
      <formula>AND($D3=$E$24, MOD(I3,100)&gt;$D$25)</formula>
    </cfRule>
    <cfRule type="cellIs" dxfId="298" priority="16" operator="equal">
      <formula>100</formula>
    </cfRule>
  </conditionalFormatting>
  <conditionalFormatting sqref="I3:I13">
    <cfRule type="cellIs" dxfId="297" priority="9" operator="equal">
      <formula>0</formula>
    </cfRule>
  </conditionalFormatting>
  <conditionalFormatting sqref="I13">
    <cfRule type="cellIs" dxfId="296" priority="24" operator="equal">
      <formula>$B$8</formula>
    </cfRule>
  </conditionalFormatting>
  <conditionalFormatting sqref="I14">
    <cfRule type="cellIs" dxfId="295" priority="10" operator="equal">
      <formula>1</formula>
    </cfRule>
    <cfRule type="cellIs" dxfId="294" priority="12" operator="lessThan">
      <formula>1</formula>
    </cfRule>
  </conditionalFormatting>
  <conditionalFormatting sqref="I50 I52:I59 I68:I72 I78:I80">
    <cfRule type="cellIs" dxfId="293" priority="21" operator="lessThan">
      <formula>0</formula>
    </cfRule>
    <cfRule type="cellIs" dxfId="292" priority="22" operator="equal">
      <formula>0</formula>
    </cfRule>
    <cfRule type="expression" dxfId="291" priority="23">
      <formula>OR(MOD($I50,100)=0,AND($D50=$E$24,MOD($I50,100)=$D$25))</formula>
    </cfRule>
  </conditionalFormatting>
  <conditionalFormatting sqref="I51">
    <cfRule type="cellIs" dxfId="290" priority="28" operator="notBetween">
      <formula>0</formula>
      <formula>$B$8</formula>
    </cfRule>
    <cfRule type="cellIs" dxfId="289" priority="29" operator="equal">
      <formula>0</formula>
    </cfRule>
    <cfRule type="expression" dxfId="288" priority="30">
      <formula>OR(MOD($I51,100)=0,AND($D51=$E$24,MOD($I51,100)=$D$25))</formula>
    </cfRule>
  </conditionalFormatting>
  <conditionalFormatting sqref="L4:L15">
    <cfRule type="expression" dxfId="287" priority="31">
      <formula>AND($L4&lt;$L3, NOT(ISBLANK($L4)))</formula>
    </cfRule>
    <cfRule type="cellIs" dxfId="286" priority="32" operator="greaterThan">
      <formula>$B$7</formula>
    </cfRule>
  </conditionalFormatting>
  <conditionalFormatting sqref="M4:M15">
    <cfRule type="cellIs" dxfId="285" priority="7" operator="greaterThan">
      <formula>1</formula>
    </cfRule>
  </conditionalFormatting>
  <dataValidations count="2">
    <dataValidation type="list" allowBlank="1" showInputMessage="1" showErrorMessage="1" sqref="C50:C59" xr:uid="{AB49E33E-5D6A-4B7D-8EB4-DE40030BF4F5}">
      <formula1>$D$19:$D$21</formula1>
    </dataValidation>
    <dataValidation type="list" allowBlank="1" showInputMessage="1" showErrorMessage="1" sqref="D68:D72 D78:D82 D50:D59" xr:uid="{56C16E27-B59F-4DF8-9DEC-C52E3897FC52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7579-B574-4404-A795-22F871760CDE}">
  <sheetPr codeName="Feuil46">
    <tabColor rgb="FFB4A7D6"/>
  </sheetPr>
  <dimension ref="A1:Q82"/>
  <sheetViews>
    <sheetView workbookViewId="0">
      <selection activeCell="B10" sqref="B10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41</v>
      </c>
      <c r="F3" s="81">
        <v>56</v>
      </c>
      <c r="G3" s="89">
        <v>1</v>
      </c>
      <c r="H3" s="300">
        <v>2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32</v>
      </c>
      <c r="F4" s="82">
        <v>68</v>
      </c>
      <c r="G4" s="83" cm="1">
        <f t="array" ref="G4">IF(ISNUMBER($D4),
 IFERROR(
  IF($D4 = MIN(INDEX(Table1,,1)),
     INDEX(Table1,MATCH($D4,INDEX(Table1,,1),0),COLUMN()-3),
     INDEX(Table1,MATCH($D4,INDEX(Table1,,1),0),COLUMN()-3)-INDEX(Table1,MATCH($D4,INDEX(Table1,,1),0)-1,COLUMN()-3)
  ),
  IFERROR(
   IF($D4 = MIN(INDEX(Table2,,1)),
      INDEX(Table2,MATCH($D4,INDEX(Table2,,1),0),COLUMN()-3),
      INDEX(Table2,MATCH($D4,INDEX(Table2,,1),0),COLUMN()-3)-INDEX(Table2,MATCH($D4,INDEX(Table2,,1),0)-1,COLUMN()-3)
   ),
   IFERROR(
    IF($D4 = MIN(INDEX(Table3,,1)),
       INDEX(Table3,MATCH($D4,INDEX(Table3,,1),0),COLUMN()-3),
       INDEX(Table3,MATCH($D4,INDEX(Table3,,1),0),COLUMN()-3)-INDEX(Table3,MATCH($D4,INDEX(Table3,,1),0)-1,COLUMN()-3)
    ),
    0
   )
  )
 ),
0)</f>
        <v>0</v>
      </c>
      <c r="H4" s="84" cm="1">
        <f t="array" ref="H4">IF(ISNUMBER($D4),
 IFERROR(
  IF($D4 = MIN(INDEX(Table1,,1)),
     INDEX(Table1,MATCH($D4,INDEX(Table1,,1),0),COLUMN()-3),
     INDEX(Table1,MATCH($D4,INDEX(Table1,,1),0),COLUMN()-3)-INDEX(Table1,MATCH($D4,INDEX(Table1,,1),0)-1,COLUMN()-3)
  ),
  IFERROR(
   IF($D4 = MIN(INDEX(Table2,,1)),
      INDEX(Table2,MATCH($D4,INDEX(Table2,,1),0),COLUMN()-3),
      INDEX(Table2,MATCH($D4,INDEX(Table2,,1),0),COLUMN()-3)-INDEX(Table2,MATCH($D4,INDEX(Table2,,1),0)-1,COLUMN()-3)
   ),
   IFERROR(
    IF($D4 = MIN(INDEX(Table3,,1)),
       INDEX(Table3,MATCH($D4,INDEX(Table3,,1),0),COLUMN()-3),
       INDEX(Table3,MATCH($D4,INDEX(Table3,,1),0),COLUMN()-3)-INDEX(Table3,MATCH($D4,INDEX(Table3,,1),0)-1,COLUMN()-3)
    ),
    0
   )
  )
 ),
0)</f>
        <v>0</v>
      </c>
      <c r="I4" s="156">
        <f t="shared" si="0"/>
        <v>100</v>
      </c>
      <c r="J4" s="216"/>
      <c r="K4" s="322" t="s">
        <v>39</v>
      </c>
      <c r="L4" s="323">
        <v>44</v>
      </c>
      <c r="M4" s="324">
        <f t="shared" ref="M4:M15" si="1">IF(OR(L4=0, L4=""), NA(), L4/$B$7)</f>
        <v>6.4801178203240065E-2</v>
      </c>
      <c r="N4" s="321"/>
      <c r="O4" s="325" t="s">
        <v>72</v>
      </c>
      <c r="P4" s="326">
        <f t="shared" ref="P4:P13" si="2">IF(L4&lt;&gt;0,L4-L3,NA())</f>
        <v>44</v>
      </c>
    </row>
    <row r="5" spans="1:17" ht="20.149999999999999" customHeight="1" x14ac:dyDescent="0.35">
      <c r="A5" s="303" t="s">
        <v>91</v>
      </c>
      <c r="B5" s="219">
        <v>4</v>
      </c>
      <c r="D5" s="171" cm="1">
        <f t="array" ref="D5">IF(ROW(3:3)&lt;=$E$24, (ROW(3:3)), "")</f>
        <v>3</v>
      </c>
      <c r="E5" s="82">
        <v>38</v>
      </c>
      <c r="F5" s="82">
        <v>60</v>
      </c>
      <c r="G5" s="90" cm="1">
        <f t="array" ref="G5">IF(ISNUMBER($D5),
 IFERROR(
  IF($D5 = MIN(INDEX(Table1,,1)),
     INDEX(Table1,MATCH($D5,INDEX(Table1,,1),0),COLUMN()-3),
     INDEX(Table1,MATCH($D5,INDEX(Table1,,1),0),COLUMN()-3)-INDEX(Table1,MATCH($D5,INDEX(Table1,,1),0)-1,COLUMN()-3)
  ),
  IFERROR(
   IF($D5 = MIN(INDEX(Table2,,1)),
      INDEX(Table2,MATCH($D5,INDEX(Table2,,1),0),COLUMN()-3),
      INDEX(Table2,MATCH($D5,INDEX(Table2,,1),0),COLUMN()-3)-INDEX(Table2,MATCH($D5,INDEX(Table2,,1),0)-1,COLUMN()-3)
   ),
   IFERROR(
    IF($D5 = MIN(INDEX(Table3,,1)),
       INDEX(Table3,MATCH($D5,INDEX(Table3,,1),0),COLUMN()-3),
       INDEX(Table3,MATCH($D5,INDEX(Table3,,1),0),COLUMN()-3)-INDEX(Table3,MATCH($D5,INDEX(Table3,,1),0)-1,COLUMN()-3)
    ),
    0
   )
  )
 ),
0)</f>
        <v>0</v>
      </c>
      <c r="H5" s="299">
        <v>2</v>
      </c>
      <c r="I5" s="156">
        <f t="shared" si="0"/>
        <v>100</v>
      </c>
      <c r="J5" s="217"/>
      <c r="K5" s="322" t="s">
        <v>40</v>
      </c>
      <c r="L5" s="323">
        <v>110</v>
      </c>
      <c r="M5" s="324">
        <f t="shared" si="1"/>
        <v>0.16200294550810015</v>
      </c>
      <c r="N5" s="321"/>
      <c r="O5" s="327" t="s">
        <v>73</v>
      </c>
      <c r="P5" s="328">
        <f t="shared" si="2"/>
        <v>66</v>
      </c>
    </row>
    <row r="6" spans="1:17" ht="20.149999999999999" customHeight="1" x14ac:dyDescent="0.35">
      <c r="A6" s="304" t="s">
        <v>2</v>
      </c>
      <c r="B6" s="220" t="str">
        <f>INDEX(Synthèse!B:B,B5+2)</f>
        <v>Gymnase B</v>
      </c>
      <c r="D6" s="171" cm="1">
        <f t="array" ref="D6">IF(ROW(4:4)&lt;=$E$24, (ROW(4:4)), "")</f>
        <v>4</v>
      </c>
      <c r="E6" s="82">
        <v>36</v>
      </c>
      <c r="F6" s="82">
        <v>38</v>
      </c>
      <c r="G6" s="90">
        <v>4</v>
      </c>
      <c r="H6" s="299">
        <v>4</v>
      </c>
      <c r="I6" s="156">
        <f t="shared" si="0"/>
        <v>82</v>
      </c>
      <c r="J6" s="217"/>
      <c r="K6" s="322" t="s">
        <v>41</v>
      </c>
      <c r="L6" s="323">
        <v>183</v>
      </c>
      <c r="M6" s="324">
        <f t="shared" si="1"/>
        <v>0.26951399116347569</v>
      </c>
      <c r="N6" s="321"/>
      <c r="O6" s="327" t="s">
        <v>74</v>
      </c>
      <c r="P6" s="328">
        <f t="shared" si="2"/>
        <v>73</v>
      </c>
    </row>
    <row r="7" spans="1:17" ht="20.149999999999999" customHeight="1" x14ac:dyDescent="0.35">
      <c r="A7" s="304" t="s">
        <v>3</v>
      </c>
      <c r="B7" s="99">
        <f>INDEX(Synthèse!C:C,B5+2)</f>
        <v>679</v>
      </c>
      <c r="D7" s="171" t="str" cm="1">
        <f t="array" ref="D7">IF(ROW(5:5)&lt;=$E$24, (ROW(5:5)), "")</f>
        <v/>
      </c>
      <c r="E7" s="82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82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0</v>
      </c>
      <c r="J7" s="217"/>
      <c r="K7" s="322" t="s">
        <v>42</v>
      </c>
      <c r="L7" s="323">
        <v>220</v>
      </c>
      <c r="M7" s="324">
        <f t="shared" si="1"/>
        <v>0.32400589101620031</v>
      </c>
      <c r="N7" s="321"/>
      <c r="O7" s="327" t="s">
        <v>75</v>
      </c>
      <c r="P7" s="328">
        <f t="shared" si="2"/>
        <v>37</v>
      </c>
    </row>
    <row r="8" spans="1:17" ht="20.149999999999999" customHeight="1" x14ac:dyDescent="0.35">
      <c r="A8" s="304" t="s">
        <v>5</v>
      </c>
      <c r="B8" s="85">
        <f>MAX(L4:L15)</f>
        <v>382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260</v>
      </c>
      <c r="M8" s="324">
        <f t="shared" si="1"/>
        <v>0.38291605301914583</v>
      </c>
      <c r="N8" s="321"/>
      <c r="O8" s="327" t="s">
        <v>76</v>
      </c>
      <c r="P8" s="328">
        <f t="shared" si="2"/>
        <v>40</v>
      </c>
    </row>
    <row r="9" spans="1:17" ht="20.149999999999999" customHeight="1" x14ac:dyDescent="0.35">
      <c r="A9" s="304" t="s">
        <v>4</v>
      </c>
      <c r="B9" s="86">
        <v>382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295</v>
      </c>
      <c r="M9" s="324">
        <f t="shared" si="1"/>
        <v>0.43446244477172313</v>
      </c>
      <c r="N9" s="321"/>
      <c r="O9" s="327" t="s">
        <v>77</v>
      </c>
      <c r="P9" s="328">
        <f t="shared" si="2"/>
        <v>35</v>
      </c>
    </row>
    <row r="10" spans="1:17" ht="20.149999999999999" customHeight="1" thickBot="1" x14ac:dyDescent="0.4">
      <c r="A10" s="305" t="s">
        <v>6</v>
      </c>
      <c r="B10" s="87">
        <f>B7-B8</f>
        <v>297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327</v>
      </c>
      <c r="M10" s="324">
        <f t="shared" si="1"/>
        <v>0.48159057437407954</v>
      </c>
      <c r="N10" s="321"/>
      <c r="O10" s="327" t="s">
        <v>78</v>
      </c>
      <c r="P10" s="328">
        <f t="shared" si="2"/>
        <v>32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344</v>
      </c>
      <c r="M11" s="324">
        <f t="shared" si="1"/>
        <v>0.50662739322533135</v>
      </c>
      <c r="N11" s="321"/>
      <c r="O11" s="327" t="s">
        <v>79</v>
      </c>
      <c r="P11" s="328">
        <f t="shared" si="2"/>
        <v>17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367</v>
      </c>
      <c r="M12" s="324">
        <f t="shared" si="1"/>
        <v>0.540500736377025</v>
      </c>
      <c r="N12" s="321"/>
      <c r="O12" s="327" t="s">
        <v>80</v>
      </c>
      <c r="P12" s="328">
        <f t="shared" si="2"/>
        <v>23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147</v>
      </c>
      <c r="F13" s="312">
        <f>SUM(F3:F12)</f>
        <v>222</v>
      </c>
      <c r="G13" s="313">
        <f>SUM(G3:G12)</f>
        <v>5</v>
      </c>
      <c r="H13" s="314">
        <f>SUM(H3:H12)</f>
        <v>8</v>
      </c>
      <c r="I13" s="308">
        <f t="shared" si="0"/>
        <v>382</v>
      </c>
      <c r="J13" s="217"/>
      <c r="K13" s="322" t="s">
        <v>48</v>
      </c>
      <c r="L13" s="323">
        <v>382</v>
      </c>
      <c r="M13" s="324">
        <f t="shared" si="1"/>
        <v>0.5625920471281296</v>
      </c>
      <c r="N13" s="321"/>
      <c r="O13" s="329" t="s">
        <v>81</v>
      </c>
      <c r="P13" s="330">
        <f t="shared" si="2"/>
        <v>15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0.38481675392670156</v>
      </c>
      <c r="F14" s="316">
        <f>IFERROR(F13/$B$8,0)</f>
        <v>0.58115183246073299</v>
      </c>
      <c r="G14" s="315">
        <f>IFERROR(G13/$B$8,0)</f>
        <v>1.3089005235602094E-2</v>
      </c>
      <c r="H14" s="317">
        <f>IFERROR(H13/$B$8,0)</f>
        <v>2.0942408376963352E-2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7</v>
      </c>
      <c r="E24" s="192">
        <f>CEILING($B$8,100)/100</f>
        <v>4</v>
      </c>
      <c r="F24" s="192"/>
      <c r="J24" s="216"/>
    </row>
    <row r="25" spans="1:10" ht="13" x14ac:dyDescent="0.25">
      <c r="D25" s="192">
        <f>MOD($B$8,100)</f>
        <v>82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3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4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4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4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4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4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4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4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4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4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4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5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6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4S+oN1eMwU4l8wgi76jX4xlJtQpG0e+nPbgC37W60nras+7D6IHe4Ag75zayDiqLq6t6Pz4+3SYP80GrSgScfg==" saltValue="WW4AWX75H9Oy7p8nyBaxmQ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284" priority="1" operator="equal">
      <formula>0</formula>
    </cfRule>
    <cfRule type="cellIs" dxfId="283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282" priority="18">
      <formula>($D3&gt;$E$24)</formula>
    </cfRule>
  </conditionalFormatting>
  <conditionalFormatting sqref="E3:H12">
    <cfRule type="expression" dxfId="281" priority="17">
      <formula>($D3&lt;=$E$24)</formula>
    </cfRule>
  </conditionalFormatting>
  <conditionalFormatting sqref="E50:H59 E68:H72 E78:H80">
    <cfRule type="expression" dxfId="280" priority="26">
      <formula>($D50&lt;=$E$24)</formula>
    </cfRule>
    <cfRule type="expression" dxfId="279" priority="27">
      <formula>($D50&gt;$E$24)</formula>
    </cfRule>
  </conditionalFormatting>
  <conditionalFormatting sqref="E50:H59">
    <cfRule type="expression" dxfId="278" priority="3">
      <formula>AND(E50&lt;MAX(E$50:E50), NOT(ISBLANK(E50)), NOT(E50=0))</formula>
    </cfRule>
  </conditionalFormatting>
  <conditionalFormatting sqref="E68:H72">
    <cfRule type="expression" dxfId="277" priority="2">
      <formula>AND(E68&lt;MAX(E$68:E68), NOT(ISBLANK(E68)), NOT(E68=0))</formula>
    </cfRule>
  </conditionalFormatting>
  <conditionalFormatting sqref="E78:H80 E50:H59 E68:H72">
    <cfRule type="cellIs" dxfId="276" priority="25" operator="notBetween">
      <formula>0</formula>
      <formula>$B$8</formula>
    </cfRule>
  </conditionalFormatting>
  <conditionalFormatting sqref="E78:H80">
    <cfRule type="expression" dxfId="275" priority="13">
      <formula>AND(E78&lt;MAX(E$78:E78), NOT(ISBLANK(E78)), NOT(E78=0))</formula>
    </cfRule>
  </conditionalFormatting>
  <conditionalFormatting sqref="E3:I12">
    <cfRule type="cellIs" dxfId="274" priority="5" operator="notBetween">
      <formula>0</formula>
      <formula>100</formula>
    </cfRule>
  </conditionalFormatting>
  <conditionalFormatting sqref="E3:I14">
    <cfRule type="cellIs" dxfId="273" priority="8" operator="lessThan">
      <formula>0</formula>
    </cfRule>
  </conditionalFormatting>
  <conditionalFormatting sqref="E14:I14">
    <cfRule type="cellIs" dxfId="272" priority="11" operator="greaterThan">
      <formula>1</formula>
    </cfRule>
  </conditionalFormatting>
  <conditionalFormatting sqref="I3:I12">
    <cfRule type="expression" dxfId="271" priority="14">
      <formula>AND($D3=$E$24, I3=$D$25)</formula>
    </cfRule>
    <cfRule type="expression" dxfId="270" priority="15">
      <formula>AND($D3=$E$24, MOD(I3,100)&gt;$D$25)</formula>
    </cfRule>
    <cfRule type="cellIs" dxfId="269" priority="16" operator="equal">
      <formula>100</formula>
    </cfRule>
  </conditionalFormatting>
  <conditionalFormatting sqref="I3:I13">
    <cfRule type="cellIs" dxfId="268" priority="9" operator="equal">
      <formula>0</formula>
    </cfRule>
  </conditionalFormatting>
  <conditionalFormatting sqref="I13">
    <cfRule type="cellIs" dxfId="267" priority="24" operator="equal">
      <formula>$B$8</formula>
    </cfRule>
  </conditionalFormatting>
  <conditionalFormatting sqref="I14">
    <cfRule type="cellIs" dxfId="266" priority="10" operator="equal">
      <formula>1</formula>
    </cfRule>
    <cfRule type="cellIs" dxfId="265" priority="12" operator="lessThan">
      <formula>1</formula>
    </cfRule>
  </conditionalFormatting>
  <conditionalFormatting sqref="I50 I52:I59 I68:I72 I78:I80">
    <cfRule type="cellIs" dxfId="264" priority="21" operator="lessThan">
      <formula>0</formula>
    </cfRule>
    <cfRule type="cellIs" dxfId="263" priority="22" operator="equal">
      <formula>0</formula>
    </cfRule>
    <cfRule type="expression" dxfId="262" priority="23">
      <formula>OR(MOD($I50,100)=0,AND($D50=$E$24,MOD($I50,100)=$D$25))</formula>
    </cfRule>
  </conditionalFormatting>
  <conditionalFormatting sqref="I51">
    <cfRule type="cellIs" dxfId="261" priority="28" operator="notBetween">
      <formula>0</formula>
      <formula>$B$8</formula>
    </cfRule>
    <cfRule type="cellIs" dxfId="260" priority="29" operator="equal">
      <formula>0</formula>
    </cfRule>
    <cfRule type="expression" dxfId="259" priority="30">
      <formula>OR(MOD($I51,100)=0,AND($D51=$E$24,MOD($I51,100)=$D$25))</formula>
    </cfRule>
  </conditionalFormatting>
  <conditionalFormatting sqref="L4:L15">
    <cfRule type="expression" dxfId="258" priority="31">
      <formula>AND($L4&lt;$L3, NOT(ISBLANK($L4)))</formula>
    </cfRule>
    <cfRule type="cellIs" dxfId="257" priority="32" operator="greaterThan">
      <formula>$B$7</formula>
    </cfRule>
  </conditionalFormatting>
  <conditionalFormatting sqref="M4:M15">
    <cfRule type="cellIs" dxfId="256" priority="7" operator="greaterThan">
      <formula>1</formula>
    </cfRule>
  </conditionalFormatting>
  <dataValidations count="2">
    <dataValidation type="list" allowBlank="1" showInputMessage="1" showErrorMessage="1" sqref="C50:C59" xr:uid="{A73D1B8A-91EE-48A7-A0F4-EEAE8EC54E5C}">
      <formula1>$D$19:$D$21</formula1>
    </dataValidation>
    <dataValidation type="list" allowBlank="1" showInputMessage="1" showErrorMessage="1" sqref="D68:D72 D78:D82 D50:D59" xr:uid="{629D4C90-25CC-4DBC-925A-D3D980D69555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FBB6-21B5-4EB4-808B-74E6985B6FA6}">
  <sheetPr codeName="Feuil47">
    <tabColor rgb="FFB4A7D6"/>
  </sheetPr>
  <dimension ref="A1:Q82"/>
  <sheetViews>
    <sheetView workbookViewId="0">
      <selection activeCell="G7" sqref="G7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36</v>
      </c>
      <c r="F3" s="81">
        <v>59</v>
      </c>
      <c r="G3" s="89">
        <v>1</v>
      </c>
      <c r="H3" s="300">
        <v>4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x14ac:dyDescent="0.35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49</v>
      </c>
      <c r="F4" s="82">
        <v>46</v>
      </c>
      <c r="G4" s="83">
        <v>2</v>
      </c>
      <c r="H4" s="84">
        <v>3</v>
      </c>
      <c r="I4" s="156">
        <f t="shared" si="0"/>
        <v>100</v>
      </c>
      <c r="J4" s="216"/>
      <c r="K4" s="322" t="s">
        <v>39</v>
      </c>
      <c r="L4" s="697">
        <v>45</v>
      </c>
      <c r="M4" s="324">
        <f t="shared" ref="M4:M15" si="1">IF(OR(L4=0, L4=""), NA(), L4/$B$7)</f>
        <v>6.4194008559201141E-2</v>
      </c>
      <c r="N4" s="321"/>
      <c r="O4" s="325" t="s">
        <v>72</v>
      </c>
      <c r="P4" s="326">
        <f t="shared" ref="P4:P13" si="2">IF(L4&lt;&gt;0,L4-L3,NA())</f>
        <v>45</v>
      </c>
    </row>
    <row r="5" spans="1:17" ht="20.149999999999999" customHeight="1" x14ac:dyDescent="0.35">
      <c r="A5" s="303" t="s">
        <v>91</v>
      </c>
      <c r="B5" s="219">
        <v>5</v>
      </c>
      <c r="D5" s="171" cm="1">
        <f t="array" ref="D5">IF(ROW(3:3)&lt;=$E$24, (ROW(3:3)), "")</f>
        <v>3</v>
      </c>
      <c r="E5" s="82">
        <v>49</v>
      </c>
      <c r="F5" s="82">
        <v>47</v>
      </c>
      <c r="G5" s="90">
        <v>3</v>
      </c>
      <c r="H5" s="299">
        <v>1</v>
      </c>
      <c r="I5" s="156">
        <f t="shared" si="0"/>
        <v>100</v>
      </c>
      <c r="J5" s="217"/>
      <c r="K5" s="322" t="s">
        <v>40</v>
      </c>
      <c r="L5" s="323">
        <v>110</v>
      </c>
      <c r="M5" s="324">
        <f t="shared" si="1"/>
        <v>0.15691868758915833</v>
      </c>
      <c r="N5" s="321"/>
      <c r="O5" s="327" t="s">
        <v>73</v>
      </c>
      <c r="P5" s="328">
        <f t="shared" si="2"/>
        <v>65</v>
      </c>
    </row>
    <row r="6" spans="1:17" ht="20.149999999999999" customHeight="1" x14ac:dyDescent="0.35">
      <c r="A6" s="304" t="s">
        <v>2</v>
      </c>
      <c r="B6" s="220" t="str">
        <f>INDEX(Synthèse!B:B,B5+2)</f>
        <v>COSEC</v>
      </c>
      <c r="D6" s="171" cm="1">
        <f t="array" ref="D6">IF(ROW(4:4)&lt;=$E$24, (ROW(4:4)), "")</f>
        <v>4</v>
      </c>
      <c r="E6" s="82">
        <v>37</v>
      </c>
      <c r="F6" s="82">
        <v>61</v>
      </c>
      <c r="G6" s="90">
        <v>1</v>
      </c>
      <c r="H6" s="299">
        <v>1</v>
      </c>
      <c r="I6" s="156">
        <f t="shared" si="0"/>
        <v>100</v>
      </c>
      <c r="J6" s="217"/>
      <c r="K6" s="322" t="s">
        <v>41</v>
      </c>
      <c r="L6" s="323">
        <v>200</v>
      </c>
      <c r="M6" s="324">
        <f t="shared" si="1"/>
        <v>0.28530670470756064</v>
      </c>
      <c r="N6" s="321"/>
      <c r="O6" s="327" t="s">
        <v>74</v>
      </c>
      <c r="P6" s="328">
        <f t="shared" si="2"/>
        <v>90</v>
      </c>
    </row>
    <row r="7" spans="1:17" ht="20.149999999999999" customHeight="1" x14ac:dyDescent="0.35">
      <c r="A7" s="304" t="s">
        <v>3</v>
      </c>
      <c r="B7" s="99">
        <f>INDEX(Synthèse!C:C,B5+2)</f>
        <v>701</v>
      </c>
      <c r="D7" s="171" cm="1">
        <f t="array" ref="D7">IF(ROW(5:5)&lt;=$E$24, (ROW(5:5)), "")</f>
        <v>5</v>
      </c>
      <c r="E7" s="82">
        <v>33</v>
      </c>
      <c r="F7" s="82">
        <v>38</v>
      </c>
      <c r="G7" s="83">
        <v>3</v>
      </c>
      <c r="H7" s="84">
        <v>1</v>
      </c>
      <c r="I7" s="156">
        <f t="shared" si="0"/>
        <v>75</v>
      </c>
      <c r="J7" s="217"/>
      <c r="K7" s="322" t="s">
        <v>42</v>
      </c>
      <c r="L7" s="323">
        <v>271</v>
      </c>
      <c r="M7" s="324">
        <f t="shared" si="1"/>
        <v>0.38659058487874465</v>
      </c>
      <c r="N7" s="321"/>
      <c r="O7" s="327" t="s">
        <v>75</v>
      </c>
      <c r="P7" s="328">
        <f t="shared" si="2"/>
        <v>71</v>
      </c>
    </row>
    <row r="8" spans="1:17" ht="20.149999999999999" customHeight="1" x14ac:dyDescent="0.35">
      <c r="A8" s="304" t="s">
        <v>5</v>
      </c>
      <c r="B8" s="85">
        <f>MAX(L4:L15)</f>
        <v>475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331</v>
      </c>
      <c r="M8" s="324">
        <f t="shared" si="1"/>
        <v>0.47218259629101283</v>
      </c>
      <c r="N8" s="321"/>
      <c r="O8" s="327" t="s">
        <v>76</v>
      </c>
      <c r="P8" s="328">
        <f t="shared" si="2"/>
        <v>60</v>
      </c>
    </row>
    <row r="9" spans="1:17" ht="20.149999999999999" customHeight="1" x14ac:dyDescent="0.35">
      <c r="A9" s="304" t="s">
        <v>4</v>
      </c>
      <c r="B9" s="86">
        <v>475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355</v>
      </c>
      <c r="M9" s="324">
        <f t="shared" si="1"/>
        <v>0.50641940085592008</v>
      </c>
      <c r="N9" s="321"/>
      <c r="O9" s="327" t="s">
        <v>77</v>
      </c>
      <c r="P9" s="328">
        <f t="shared" si="2"/>
        <v>24</v>
      </c>
    </row>
    <row r="10" spans="1:17" ht="20.149999999999999" customHeight="1" thickBot="1" x14ac:dyDescent="0.4">
      <c r="A10" s="305" t="s">
        <v>6</v>
      </c>
      <c r="B10" s="87">
        <f>B7-B8</f>
        <v>226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390</v>
      </c>
      <c r="M10" s="324">
        <f t="shared" si="1"/>
        <v>0.55634807417974319</v>
      </c>
      <c r="N10" s="321"/>
      <c r="O10" s="327" t="s">
        <v>78</v>
      </c>
      <c r="P10" s="328">
        <f t="shared" si="2"/>
        <v>35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420</v>
      </c>
      <c r="M11" s="324">
        <f t="shared" si="1"/>
        <v>0.59914407988587737</v>
      </c>
      <c r="N11" s="321"/>
      <c r="O11" s="327" t="s">
        <v>79</v>
      </c>
      <c r="P11" s="328">
        <f t="shared" si="2"/>
        <v>30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447</v>
      </c>
      <c r="M12" s="324">
        <f t="shared" si="1"/>
        <v>0.63766048502139805</v>
      </c>
      <c r="N12" s="321"/>
      <c r="O12" s="327" t="s">
        <v>80</v>
      </c>
      <c r="P12" s="328">
        <f t="shared" si="2"/>
        <v>27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204</v>
      </c>
      <c r="F13" s="312">
        <f>SUM(F3:F12)</f>
        <v>251</v>
      </c>
      <c r="G13" s="313">
        <f>SUM(G3:G12)</f>
        <v>10</v>
      </c>
      <c r="H13" s="314">
        <f>SUM(H3:H12)</f>
        <v>10</v>
      </c>
      <c r="I13" s="308">
        <f t="shared" si="0"/>
        <v>475</v>
      </c>
      <c r="J13" s="217"/>
      <c r="K13" s="322" t="s">
        <v>48</v>
      </c>
      <c r="L13" s="323">
        <v>475</v>
      </c>
      <c r="M13" s="324">
        <f t="shared" si="1"/>
        <v>0.67760342368045645</v>
      </c>
      <c r="N13" s="321"/>
      <c r="O13" s="329" t="s">
        <v>81</v>
      </c>
      <c r="P13" s="330">
        <f t="shared" si="2"/>
        <v>28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0.42947368421052634</v>
      </c>
      <c r="F14" s="316">
        <f>IFERROR(F13/$B$8,0)</f>
        <v>0.5284210526315789</v>
      </c>
      <c r="G14" s="315">
        <f>IFERROR(G13/$B$8,0)</f>
        <v>2.1052631578947368E-2</v>
      </c>
      <c r="H14" s="317">
        <f>IFERROR(H13/$B$8,0)</f>
        <v>2.1052631578947368E-2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8</v>
      </c>
      <c r="E24" s="192">
        <f>CEILING($B$8,100)/100</f>
        <v>5</v>
      </c>
      <c r="F24" s="192"/>
      <c r="J24" s="216"/>
    </row>
    <row r="25" spans="1:10" ht="13" x14ac:dyDescent="0.25">
      <c r="D25" s="192">
        <f>MOD($B$8,100)</f>
        <v>75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3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4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4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4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4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4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4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4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4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4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4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5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6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hR60IUvp5cCrANbdh+pqteqOTVcTJ5luMf9PAhoqGJrQxAqANLmiXvHx3cENE/p8ZyeoVxCiYzmpo4WojfcfHQ==" saltValue="pAxeEI7OH4OBTStSuoevwQ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255" priority="1" operator="equal">
      <formula>0</formula>
    </cfRule>
    <cfRule type="cellIs" dxfId="254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253" priority="18">
      <formula>($D3&gt;$E$24)</formula>
    </cfRule>
  </conditionalFormatting>
  <conditionalFormatting sqref="E3:H12">
    <cfRule type="expression" dxfId="252" priority="17">
      <formula>($D3&lt;=$E$24)</formula>
    </cfRule>
  </conditionalFormatting>
  <conditionalFormatting sqref="E50:H59 E68:H72 E78:H80">
    <cfRule type="expression" dxfId="251" priority="26">
      <formula>($D50&lt;=$E$24)</formula>
    </cfRule>
    <cfRule type="expression" dxfId="250" priority="27">
      <formula>($D50&gt;$E$24)</formula>
    </cfRule>
  </conditionalFormatting>
  <conditionalFormatting sqref="E50:H59">
    <cfRule type="expression" dxfId="249" priority="3">
      <formula>AND(E50&lt;MAX(E$50:E50), NOT(ISBLANK(E50)), NOT(E50=0))</formula>
    </cfRule>
  </conditionalFormatting>
  <conditionalFormatting sqref="E68:H72">
    <cfRule type="expression" dxfId="248" priority="2">
      <formula>AND(E68&lt;MAX(E$68:E68), NOT(ISBLANK(E68)), NOT(E68=0))</formula>
    </cfRule>
  </conditionalFormatting>
  <conditionalFormatting sqref="E78:H80 E50:H59 E68:H72">
    <cfRule type="cellIs" dxfId="247" priority="25" operator="notBetween">
      <formula>0</formula>
      <formula>$B$8</formula>
    </cfRule>
  </conditionalFormatting>
  <conditionalFormatting sqref="E78:H80">
    <cfRule type="expression" dxfId="246" priority="13">
      <formula>AND(E78&lt;MAX(E$78:E78), NOT(ISBLANK(E78)), NOT(E78=0))</formula>
    </cfRule>
  </conditionalFormatting>
  <conditionalFormatting sqref="E3:I12">
    <cfRule type="cellIs" dxfId="245" priority="5" operator="notBetween">
      <formula>0</formula>
      <formula>100</formula>
    </cfRule>
  </conditionalFormatting>
  <conditionalFormatting sqref="E3:I14">
    <cfRule type="cellIs" dxfId="244" priority="8" operator="lessThan">
      <formula>0</formula>
    </cfRule>
  </conditionalFormatting>
  <conditionalFormatting sqref="E14:I14">
    <cfRule type="cellIs" dxfId="243" priority="11" operator="greaterThan">
      <formula>1</formula>
    </cfRule>
  </conditionalFormatting>
  <conditionalFormatting sqref="I3:I12">
    <cfRule type="expression" dxfId="242" priority="14">
      <formula>AND($D3=$E$24, I3=$D$25)</formula>
    </cfRule>
    <cfRule type="expression" dxfId="241" priority="15">
      <formula>AND($D3=$E$24, MOD(I3,100)&gt;$D$25)</formula>
    </cfRule>
    <cfRule type="cellIs" dxfId="240" priority="16" operator="equal">
      <formula>100</formula>
    </cfRule>
  </conditionalFormatting>
  <conditionalFormatting sqref="I3:I13">
    <cfRule type="cellIs" dxfId="239" priority="9" operator="equal">
      <formula>0</formula>
    </cfRule>
  </conditionalFormatting>
  <conditionalFormatting sqref="I13">
    <cfRule type="cellIs" dxfId="238" priority="24" operator="equal">
      <formula>$B$8</formula>
    </cfRule>
  </conditionalFormatting>
  <conditionalFormatting sqref="I14">
    <cfRule type="cellIs" dxfId="237" priority="10" operator="equal">
      <formula>1</formula>
    </cfRule>
    <cfRule type="cellIs" dxfId="236" priority="12" operator="lessThan">
      <formula>1</formula>
    </cfRule>
  </conditionalFormatting>
  <conditionalFormatting sqref="I50 I52:I59 I68:I72 I78:I80">
    <cfRule type="cellIs" dxfId="235" priority="21" operator="lessThan">
      <formula>0</formula>
    </cfRule>
    <cfRule type="cellIs" dxfId="234" priority="22" operator="equal">
      <formula>0</formula>
    </cfRule>
    <cfRule type="expression" dxfId="233" priority="23">
      <formula>OR(MOD($I50,100)=0,AND($D50=$E$24,MOD($I50,100)=$D$25))</formula>
    </cfRule>
  </conditionalFormatting>
  <conditionalFormatting sqref="I51">
    <cfRule type="cellIs" dxfId="232" priority="28" operator="notBetween">
      <formula>0</formula>
      <formula>$B$8</formula>
    </cfRule>
    <cfRule type="cellIs" dxfId="231" priority="29" operator="equal">
      <formula>0</formula>
    </cfRule>
    <cfRule type="expression" dxfId="230" priority="30">
      <formula>OR(MOD($I51,100)=0,AND($D51=$E$24,MOD($I51,100)=$D$25))</formula>
    </cfRule>
  </conditionalFormatting>
  <conditionalFormatting sqref="L4:L15">
    <cfRule type="expression" dxfId="229" priority="31">
      <formula>AND($L4&lt;$L3, NOT(ISBLANK($L4)))</formula>
    </cfRule>
    <cfRule type="cellIs" dxfId="228" priority="32" operator="greaterThan">
      <formula>$B$7</formula>
    </cfRule>
  </conditionalFormatting>
  <conditionalFormatting sqref="M4:M15">
    <cfRule type="cellIs" dxfId="227" priority="7" operator="greaterThan">
      <formula>1</formula>
    </cfRule>
  </conditionalFormatting>
  <dataValidations count="2">
    <dataValidation type="list" allowBlank="1" showInputMessage="1" showErrorMessage="1" sqref="C50:C59" xr:uid="{CEF57721-CDB1-4676-8A69-3C60AFDE76CC}">
      <formula1>$D$19:$D$21</formula1>
    </dataValidation>
    <dataValidation type="list" allowBlank="1" showInputMessage="1" showErrorMessage="1" sqref="D68:D72 D78:D82 D50:D59" xr:uid="{AE9CB3CE-7AD9-457C-AEFA-BC8C5CA7AD1D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339F-03B3-4A81-8D29-2E1DFC433B58}">
  <sheetPr codeName="Feuil48">
    <tabColor rgb="FFB4A7D6"/>
  </sheetPr>
  <dimension ref="A1:Q82"/>
  <sheetViews>
    <sheetView workbookViewId="0">
      <selection activeCell="B10" sqref="B10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51</v>
      </c>
      <c r="F3" s="81">
        <v>49</v>
      </c>
      <c r="G3" s="89" cm="1">
        <f t="array" ref="G3">IF(ISNUMBER($D3),
 IFERROR(
  IF($D3 = MIN(INDEX(Table1,,1)),
     INDEX(Table1,MATCH($D3,INDEX(Table1,,1),0),COLUMN()-3),
     INDEX(Table1,MATCH($D3,INDEX(Table1,,1),0),COLUMN()-3)-INDEX(Table1,MATCH($D3,INDEX(Table1,,1),0)-1,COLUMN()-3)
  ),
  IFERROR(
   IF($D3 = MIN(INDEX(Table2,,1)),
      INDEX(Table2,MATCH($D3,INDEX(Table2,,1),0),COLUMN()-3),
      INDEX(Table2,MATCH($D3,INDEX(Table2,,1),0),COLUMN()-3)-INDEX(Table2,MATCH($D3,INDEX(Table2,,1),0)-1,COLUMN()-3)
   ),
   IFERROR(
    IF($D3 = MIN(INDEX(Table3,,1)),
       INDEX(Table3,MATCH($D3,INDEX(Table3,,1),0),COLUMN()-3),
       INDEX(Table3,MATCH($D3,INDEX(Table3,,1),0),COLUMN()-3)-INDEX(Table3,MATCH($D3,INDEX(Table3,,1),0)-1,COLUMN()-3)
    ),
    0
   )
  )
 ),
0)</f>
        <v>0</v>
      </c>
      <c r="H3" s="300" cm="1">
        <f t="array" ref="H3">IF(ISNUMBER($D3),
 IFERROR(
  IF($D3 = MIN(INDEX(Table1,,1)),
     INDEX(Table1,MATCH($D3,INDEX(Table1,,1),0),COLUMN()-3),
     INDEX(Table1,MATCH($D3,INDEX(Table1,,1),0),COLUMN()-3)-INDEX(Table1,MATCH($D3,INDEX(Table1,,1),0)-1,COLUMN()-3)
  ),
  IFERROR(
   IF($D3 = MIN(INDEX(Table2,,1)),
      INDEX(Table2,MATCH($D3,INDEX(Table2,,1),0),COLUMN()-3),
      INDEX(Table2,MATCH($D3,INDEX(Table2,,1),0),COLUMN()-3)-INDEX(Table2,MATCH($D3,INDEX(Table2,,1),0)-1,COLUMN()-3)
   ),
   IFERROR(
    IF($D3 = MIN(INDEX(Table3,,1)),
       INDEX(Table3,MATCH($D3,INDEX(Table3,,1),0),COLUMN()-3),
       INDEX(Table3,MATCH($D3,INDEX(Table3,,1),0),COLUMN()-3)-INDEX(Table3,MATCH($D3,INDEX(Table3,,1),0)-1,COLUMN()-3)
    ),
    0
   )
  )
 ),
0)</f>
        <v>0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39</v>
      </c>
      <c r="F4" s="82">
        <v>57</v>
      </c>
      <c r="G4" s="83">
        <v>1</v>
      </c>
      <c r="H4" s="84">
        <v>3</v>
      </c>
      <c r="I4" s="156">
        <f t="shared" si="0"/>
        <v>100</v>
      </c>
      <c r="J4" s="216"/>
      <c r="K4" s="322" t="s">
        <v>39</v>
      </c>
      <c r="L4" s="323">
        <v>48</v>
      </c>
      <c r="M4" s="324">
        <f t="shared" ref="M4:M15" si="1">IF(OR(L4=0, L4=""), NA(), L4/$B$7)</f>
        <v>6.7605633802816895E-2</v>
      </c>
      <c r="N4" s="321"/>
      <c r="O4" s="325" t="s">
        <v>72</v>
      </c>
      <c r="P4" s="326">
        <f t="shared" ref="P4:P13" si="2">IF(L4&lt;&gt;0,L4-L3,NA())</f>
        <v>48</v>
      </c>
    </row>
    <row r="5" spans="1:17" ht="20.149999999999999" customHeight="1" x14ac:dyDescent="0.35">
      <c r="A5" s="303" t="s">
        <v>91</v>
      </c>
      <c r="B5" s="219">
        <v>6</v>
      </c>
      <c r="D5" s="171" cm="1">
        <f t="array" ref="D5">IF(ROW(3:3)&lt;=$E$24, (ROW(3:3)), "")</f>
        <v>3</v>
      </c>
      <c r="E5" s="82">
        <v>32</v>
      </c>
      <c r="F5" s="82">
        <v>62</v>
      </c>
      <c r="G5" s="90">
        <v>0</v>
      </c>
      <c r="H5" s="299">
        <v>6</v>
      </c>
      <c r="I5" s="156">
        <f t="shared" si="0"/>
        <v>100</v>
      </c>
      <c r="J5" s="217"/>
      <c r="K5" s="322" t="s">
        <v>40</v>
      </c>
      <c r="L5" s="323">
        <v>100</v>
      </c>
      <c r="M5" s="324">
        <f t="shared" si="1"/>
        <v>0.14084507042253522</v>
      </c>
      <c r="N5" s="321"/>
      <c r="O5" s="327" t="s">
        <v>73</v>
      </c>
      <c r="P5" s="328">
        <f t="shared" si="2"/>
        <v>52</v>
      </c>
    </row>
    <row r="6" spans="1:17" ht="20.149999999999999" customHeight="1" x14ac:dyDescent="0.35">
      <c r="A6" s="304" t="s">
        <v>2</v>
      </c>
      <c r="B6" s="220" t="str">
        <f>INDEX(Synthèse!B:B,B5+2)</f>
        <v>COSEC</v>
      </c>
      <c r="D6" s="171" cm="1">
        <f t="array" ref="D6">IF(ROW(4:4)&lt;=$E$24, (ROW(4:4)), "")</f>
        <v>4</v>
      </c>
      <c r="E6" s="82">
        <v>39</v>
      </c>
      <c r="F6" s="82">
        <v>37</v>
      </c>
      <c r="G6" s="90">
        <v>1</v>
      </c>
      <c r="H6" s="299">
        <v>3</v>
      </c>
      <c r="I6" s="156">
        <f t="shared" si="0"/>
        <v>80</v>
      </c>
      <c r="J6" s="217"/>
      <c r="K6" s="322" t="s">
        <v>41</v>
      </c>
      <c r="L6" s="323">
        <v>156</v>
      </c>
      <c r="M6" s="324">
        <f t="shared" si="1"/>
        <v>0.21971830985915494</v>
      </c>
      <c r="N6" s="321"/>
      <c r="O6" s="327" t="s">
        <v>74</v>
      </c>
      <c r="P6" s="328">
        <f t="shared" si="2"/>
        <v>56</v>
      </c>
    </row>
    <row r="7" spans="1:17" ht="20.149999999999999" customHeight="1" x14ac:dyDescent="0.35">
      <c r="A7" s="304" t="s">
        <v>3</v>
      </c>
      <c r="B7" s="99">
        <f>INDEX(Synthèse!C:C,B5+2)</f>
        <v>710</v>
      </c>
      <c r="D7" s="171" t="str" cm="1">
        <f t="array" ref="D7">IF(ROW(5:5)&lt;=$E$24, (ROW(5:5)), "")</f>
        <v/>
      </c>
      <c r="E7" s="82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82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0</v>
      </c>
      <c r="J7" s="217"/>
      <c r="K7" s="322" t="s">
        <v>42</v>
      </c>
      <c r="L7" s="323">
        <v>213</v>
      </c>
      <c r="M7" s="324">
        <f t="shared" si="1"/>
        <v>0.3</v>
      </c>
      <c r="N7" s="321"/>
      <c r="O7" s="327" t="s">
        <v>75</v>
      </c>
      <c r="P7" s="328">
        <f t="shared" si="2"/>
        <v>57</v>
      </c>
    </row>
    <row r="8" spans="1:17" ht="20.149999999999999" customHeight="1" x14ac:dyDescent="0.35">
      <c r="A8" s="304" t="s">
        <v>5</v>
      </c>
      <c r="B8" s="85">
        <f>MAX(L4:L15)</f>
        <v>380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258</v>
      </c>
      <c r="M8" s="324">
        <f t="shared" si="1"/>
        <v>0.36338028169014086</v>
      </c>
      <c r="N8" s="321"/>
      <c r="O8" s="327" t="s">
        <v>76</v>
      </c>
      <c r="P8" s="328">
        <f t="shared" si="2"/>
        <v>45</v>
      </c>
    </row>
    <row r="9" spans="1:17" ht="20.149999999999999" customHeight="1" x14ac:dyDescent="0.35">
      <c r="A9" s="304" t="s">
        <v>4</v>
      </c>
      <c r="B9" s="86">
        <v>380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284</v>
      </c>
      <c r="M9" s="324">
        <f t="shared" si="1"/>
        <v>0.4</v>
      </c>
      <c r="N9" s="321"/>
      <c r="O9" s="327" t="s">
        <v>77</v>
      </c>
      <c r="P9" s="328">
        <f t="shared" si="2"/>
        <v>26</v>
      </c>
    </row>
    <row r="10" spans="1:17" ht="20.149999999999999" customHeight="1" thickBot="1" x14ac:dyDescent="0.4">
      <c r="A10" s="305" t="s">
        <v>6</v>
      </c>
      <c r="B10" s="87">
        <f>B7-B8</f>
        <v>330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320</v>
      </c>
      <c r="M10" s="324">
        <f t="shared" si="1"/>
        <v>0.45070422535211269</v>
      </c>
      <c r="N10" s="321"/>
      <c r="O10" s="327" t="s">
        <v>78</v>
      </c>
      <c r="P10" s="328">
        <f t="shared" si="2"/>
        <v>36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340</v>
      </c>
      <c r="M11" s="324">
        <f t="shared" si="1"/>
        <v>0.47887323943661969</v>
      </c>
      <c r="N11" s="321"/>
      <c r="O11" s="327" t="s">
        <v>79</v>
      </c>
      <c r="P11" s="328">
        <f t="shared" si="2"/>
        <v>20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362</v>
      </c>
      <c r="M12" s="324">
        <f t="shared" si="1"/>
        <v>0.50985915492957745</v>
      </c>
      <c r="N12" s="321"/>
      <c r="O12" s="327" t="s">
        <v>80</v>
      </c>
      <c r="P12" s="328">
        <f t="shared" si="2"/>
        <v>22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161</v>
      </c>
      <c r="F13" s="312">
        <f>SUM(F3:F12)</f>
        <v>205</v>
      </c>
      <c r="G13" s="313">
        <f>SUM(G3:G12)</f>
        <v>2</v>
      </c>
      <c r="H13" s="314">
        <f>SUM(H3:H12)</f>
        <v>12</v>
      </c>
      <c r="I13" s="308">
        <f t="shared" si="0"/>
        <v>380</v>
      </c>
      <c r="J13" s="217"/>
      <c r="K13" s="322" t="s">
        <v>48</v>
      </c>
      <c r="L13" s="323">
        <v>380</v>
      </c>
      <c r="M13" s="324">
        <f t="shared" si="1"/>
        <v>0.53521126760563376</v>
      </c>
      <c r="N13" s="321"/>
      <c r="O13" s="329" t="s">
        <v>81</v>
      </c>
      <c r="P13" s="330">
        <f t="shared" si="2"/>
        <v>18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0.42368421052631577</v>
      </c>
      <c r="F14" s="316">
        <f>IFERROR(F13/$B$8,0)</f>
        <v>0.53947368421052633</v>
      </c>
      <c r="G14" s="315">
        <f>IFERROR(G13/$B$8,0)</f>
        <v>5.263157894736842E-3</v>
      </c>
      <c r="H14" s="317">
        <f>IFERROR(H13/$B$8,0)</f>
        <v>3.1578947368421054E-2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8</v>
      </c>
      <c r="E24" s="192">
        <f>CEILING($B$8,100)/100</f>
        <v>4</v>
      </c>
      <c r="F24" s="192"/>
      <c r="J24" s="216"/>
    </row>
    <row r="25" spans="1:10" ht="13" x14ac:dyDescent="0.25">
      <c r="D25" s="192">
        <f>MOD($B$8,100)</f>
        <v>80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3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4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4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4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4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4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4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4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4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4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4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5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6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HMX1f6d8vzPkuxx3tHQndrgV+UUo16FCOgpC2+p9S1Sk4b+OQKo7Pqh6GTZ34p5xJbeqzIvvqB2CrRA9yxm3EA==" saltValue="6XCZ+6MypXxOviJRFw3YrQ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226" priority="1" operator="equal">
      <formula>0</formula>
    </cfRule>
    <cfRule type="cellIs" dxfId="225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224" priority="18">
      <formula>($D3&gt;$E$24)</formula>
    </cfRule>
  </conditionalFormatting>
  <conditionalFormatting sqref="E3:H12">
    <cfRule type="expression" dxfId="223" priority="17">
      <formula>($D3&lt;=$E$24)</formula>
    </cfRule>
  </conditionalFormatting>
  <conditionalFormatting sqref="E50:H59 E68:H72 E78:H80">
    <cfRule type="expression" dxfId="222" priority="26">
      <formula>($D50&lt;=$E$24)</formula>
    </cfRule>
    <cfRule type="expression" dxfId="221" priority="27">
      <formula>($D50&gt;$E$24)</formula>
    </cfRule>
  </conditionalFormatting>
  <conditionalFormatting sqref="E50:H59">
    <cfRule type="expression" dxfId="220" priority="3">
      <formula>AND(E50&lt;MAX(E$50:E50), NOT(ISBLANK(E50)), NOT(E50=0))</formula>
    </cfRule>
  </conditionalFormatting>
  <conditionalFormatting sqref="E68:H72">
    <cfRule type="expression" dxfId="219" priority="2">
      <formula>AND(E68&lt;MAX(E$68:E68), NOT(ISBLANK(E68)), NOT(E68=0))</formula>
    </cfRule>
  </conditionalFormatting>
  <conditionalFormatting sqref="E78:H80 E50:H59 E68:H72">
    <cfRule type="cellIs" dxfId="218" priority="25" operator="notBetween">
      <formula>0</formula>
      <formula>$B$8</formula>
    </cfRule>
  </conditionalFormatting>
  <conditionalFormatting sqref="E78:H80">
    <cfRule type="expression" dxfId="217" priority="13">
      <formula>AND(E78&lt;MAX(E$78:E78), NOT(ISBLANK(E78)), NOT(E78=0))</formula>
    </cfRule>
  </conditionalFormatting>
  <conditionalFormatting sqref="E3:I12">
    <cfRule type="cellIs" dxfId="216" priority="5" operator="notBetween">
      <formula>0</formula>
      <formula>100</formula>
    </cfRule>
  </conditionalFormatting>
  <conditionalFormatting sqref="E3:I14">
    <cfRule type="cellIs" dxfId="215" priority="8" operator="lessThan">
      <formula>0</formula>
    </cfRule>
  </conditionalFormatting>
  <conditionalFormatting sqref="E14:I14">
    <cfRule type="cellIs" dxfId="214" priority="11" operator="greaterThan">
      <formula>1</formula>
    </cfRule>
  </conditionalFormatting>
  <conditionalFormatting sqref="I3:I12">
    <cfRule type="expression" dxfId="213" priority="14">
      <formula>AND($D3=$E$24, I3=$D$25)</formula>
    </cfRule>
    <cfRule type="expression" dxfId="212" priority="15">
      <formula>AND($D3=$E$24, MOD(I3,100)&gt;$D$25)</formula>
    </cfRule>
    <cfRule type="cellIs" dxfId="211" priority="16" operator="equal">
      <formula>100</formula>
    </cfRule>
  </conditionalFormatting>
  <conditionalFormatting sqref="I3:I13">
    <cfRule type="cellIs" dxfId="210" priority="9" operator="equal">
      <formula>0</formula>
    </cfRule>
  </conditionalFormatting>
  <conditionalFormatting sqref="I13">
    <cfRule type="cellIs" dxfId="209" priority="24" operator="equal">
      <formula>$B$8</formula>
    </cfRule>
  </conditionalFormatting>
  <conditionalFormatting sqref="I14">
    <cfRule type="cellIs" dxfId="208" priority="10" operator="equal">
      <formula>1</formula>
    </cfRule>
    <cfRule type="cellIs" dxfId="207" priority="12" operator="lessThan">
      <formula>1</formula>
    </cfRule>
  </conditionalFormatting>
  <conditionalFormatting sqref="I50 I52:I59 I68:I72 I78:I80">
    <cfRule type="cellIs" dxfId="206" priority="21" operator="lessThan">
      <formula>0</formula>
    </cfRule>
    <cfRule type="cellIs" dxfId="205" priority="22" operator="equal">
      <formula>0</formula>
    </cfRule>
    <cfRule type="expression" dxfId="204" priority="23">
      <formula>OR(MOD($I50,100)=0,AND($D50=$E$24,MOD($I50,100)=$D$25))</formula>
    </cfRule>
  </conditionalFormatting>
  <conditionalFormatting sqref="I51">
    <cfRule type="cellIs" dxfId="203" priority="28" operator="notBetween">
      <formula>0</formula>
      <formula>$B$8</formula>
    </cfRule>
    <cfRule type="cellIs" dxfId="202" priority="29" operator="equal">
      <formula>0</formula>
    </cfRule>
    <cfRule type="expression" dxfId="201" priority="30">
      <formula>OR(MOD($I51,100)=0,AND($D51=$E$24,MOD($I51,100)=$D$25))</formula>
    </cfRule>
  </conditionalFormatting>
  <conditionalFormatting sqref="L4:L15">
    <cfRule type="expression" dxfId="200" priority="31">
      <formula>AND($L4&lt;$L3, NOT(ISBLANK($L4)))</formula>
    </cfRule>
    <cfRule type="cellIs" dxfId="199" priority="32" operator="greaterThan">
      <formula>$B$7</formula>
    </cfRule>
  </conditionalFormatting>
  <conditionalFormatting sqref="M4:M15">
    <cfRule type="cellIs" dxfId="198" priority="7" operator="greaterThan">
      <formula>1</formula>
    </cfRule>
  </conditionalFormatting>
  <dataValidations count="2">
    <dataValidation type="list" allowBlank="1" showInputMessage="1" showErrorMessage="1" sqref="C50:C59" xr:uid="{AFB69033-A806-466A-B06C-3E10C6BEBDC1}">
      <formula1>$D$19:$D$21</formula1>
    </dataValidation>
    <dataValidation type="list" allowBlank="1" showInputMessage="1" showErrorMessage="1" sqref="D68:D72 D78:D82 D50:D59" xr:uid="{05D41BD5-CF83-4A6F-B135-EB40EDF3C8F2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A622-193E-48E4-AB76-64988E691957}">
  <sheetPr codeName="Feuil49">
    <tabColor rgb="FFB4A7D6"/>
  </sheetPr>
  <dimension ref="A1:Q82"/>
  <sheetViews>
    <sheetView workbookViewId="0">
      <selection activeCell="B10" sqref="B10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41</v>
      </c>
      <c r="F3" s="81">
        <v>58</v>
      </c>
      <c r="G3" s="89">
        <v>1</v>
      </c>
      <c r="H3" s="300" cm="1">
        <f t="array" ref="H3">IF(ISNUMBER($D3),
 IFERROR(
  IF($D3 = MIN(INDEX(Table1,,1)),
     INDEX(Table1,MATCH($D3,INDEX(Table1,,1),0),COLUMN()-3),
     INDEX(Table1,MATCH($D3,INDEX(Table1,,1),0),COLUMN()-3)-INDEX(Table1,MATCH($D3,INDEX(Table1,,1),0)-1,COLUMN()-3)
  ),
  IFERROR(
   IF($D3 = MIN(INDEX(Table2,,1)),
      INDEX(Table2,MATCH($D3,INDEX(Table2,,1),0),COLUMN()-3),
      INDEX(Table2,MATCH($D3,INDEX(Table2,,1),0),COLUMN()-3)-INDEX(Table2,MATCH($D3,INDEX(Table2,,1),0)-1,COLUMN()-3)
   ),
   IFERROR(
    IF($D3 = MIN(INDEX(Table3,,1)),
       INDEX(Table3,MATCH($D3,INDEX(Table3,,1),0),COLUMN()-3),
       INDEX(Table3,MATCH($D3,INDEX(Table3,,1),0),COLUMN()-3)-INDEX(Table3,MATCH($D3,INDEX(Table3,,1),0)-1,COLUMN()-3)
    ),
    0
   )
  )
 ),
0)</f>
        <v>0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33</v>
      </c>
      <c r="F4" s="82">
        <v>64</v>
      </c>
      <c r="G4" s="83" cm="1">
        <f t="array" ref="G4">IF(ISNUMBER($D4),
 IFERROR(
  IF($D4 = MIN(INDEX(Table1,,1)),
     INDEX(Table1,MATCH($D4,INDEX(Table1,,1),0),COLUMN()-3),
     INDEX(Table1,MATCH($D4,INDEX(Table1,,1),0),COLUMN()-3)-INDEX(Table1,MATCH($D4,INDEX(Table1,,1),0)-1,COLUMN()-3)
  ),
  IFERROR(
   IF($D4 = MIN(INDEX(Table2,,1)),
      INDEX(Table2,MATCH($D4,INDEX(Table2,,1),0),COLUMN()-3),
      INDEX(Table2,MATCH($D4,INDEX(Table2,,1),0),COLUMN()-3)-INDEX(Table2,MATCH($D4,INDEX(Table2,,1),0)-1,COLUMN()-3)
   ),
   IFERROR(
    IF($D4 = MIN(INDEX(Table3,,1)),
       INDEX(Table3,MATCH($D4,INDEX(Table3,,1),0),COLUMN()-3),
       INDEX(Table3,MATCH($D4,INDEX(Table3,,1),0),COLUMN()-3)-INDEX(Table3,MATCH($D4,INDEX(Table3,,1),0)-1,COLUMN()-3)
    ),
    0
   )
  )
 ),
0)</f>
        <v>0</v>
      </c>
      <c r="H4" s="84">
        <v>3</v>
      </c>
      <c r="I4" s="156">
        <f t="shared" si="0"/>
        <v>100</v>
      </c>
      <c r="J4" s="216"/>
      <c r="K4" s="322" t="s">
        <v>39</v>
      </c>
      <c r="L4" s="323">
        <v>30</v>
      </c>
      <c r="M4" s="324">
        <f t="shared" ref="M4:M15" si="1">IF(OR(L4=0, L4=""), NA(), L4/$B$7)</f>
        <v>4.1039671682626538E-2</v>
      </c>
      <c r="N4" s="321"/>
      <c r="O4" s="325" t="s">
        <v>72</v>
      </c>
      <c r="P4" s="326">
        <f t="shared" ref="P4:P13" si="2">IF(L4&lt;&gt;0,L4-L3,NA())</f>
        <v>30</v>
      </c>
    </row>
    <row r="5" spans="1:17" ht="20.149999999999999" customHeight="1" x14ac:dyDescent="0.35">
      <c r="A5" s="303" t="s">
        <v>91</v>
      </c>
      <c r="B5" s="219">
        <v>7</v>
      </c>
      <c r="D5" s="171" cm="1">
        <f t="array" ref="D5">IF(ROW(3:3)&lt;=$E$24, (ROW(3:3)), "")</f>
        <v>3</v>
      </c>
      <c r="E5" s="82">
        <v>42</v>
      </c>
      <c r="F5" s="82">
        <v>52</v>
      </c>
      <c r="G5" s="90">
        <v>1</v>
      </c>
      <c r="H5" s="299">
        <v>5</v>
      </c>
      <c r="I5" s="156">
        <f t="shared" si="0"/>
        <v>100</v>
      </c>
      <c r="J5" s="217"/>
      <c r="K5" s="322" t="s">
        <v>40</v>
      </c>
      <c r="L5" s="323">
        <v>90</v>
      </c>
      <c r="M5" s="324">
        <f t="shared" si="1"/>
        <v>0.12311901504787962</v>
      </c>
      <c r="N5" s="321"/>
      <c r="O5" s="327" t="s">
        <v>73</v>
      </c>
      <c r="P5" s="328">
        <f t="shared" si="2"/>
        <v>60</v>
      </c>
    </row>
    <row r="6" spans="1:17" ht="20.149999999999999" customHeight="1" x14ac:dyDescent="0.35">
      <c r="A6" s="304" t="s">
        <v>2</v>
      </c>
      <c r="B6" s="220" t="str">
        <f>INDEX(Synthèse!B:B,B5+2)</f>
        <v>COSEC</v>
      </c>
      <c r="D6" s="171" cm="1">
        <f t="array" ref="D6">IF(ROW(4:4)&lt;=$E$24, (ROW(4:4)), "")</f>
        <v>4</v>
      </c>
      <c r="E6" s="82">
        <v>42</v>
      </c>
      <c r="F6" s="82">
        <v>53</v>
      </c>
      <c r="G6" s="90">
        <v>2</v>
      </c>
      <c r="H6" s="299">
        <v>3</v>
      </c>
      <c r="I6" s="156">
        <f t="shared" si="0"/>
        <v>100</v>
      </c>
      <c r="J6" s="217"/>
      <c r="K6" s="322" t="s">
        <v>41</v>
      </c>
      <c r="L6" s="323">
        <v>160</v>
      </c>
      <c r="M6" s="324">
        <f t="shared" si="1"/>
        <v>0.2188782489740082</v>
      </c>
      <c r="N6" s="321"/>
      <c r="O6" s="327" t="s">
        <v>74</v>
      </c>
      <c r="P6" s="328">
        <f t="shared" si="2"/>
        <v>70</v>
      </c>
    </row>
    <row r="7" spans="1:17" ht="20.149999999999999" customHeight="1" x14ac:dyDescent="0.35">
      <c r="A7" s="304" t="s">
        <v>3</v>
      </c>
      <c r="B7" s="99">
        <f>INDEX(Synthèse!C:C,B5+2)</f>
        <v>731</v>
      </c>
      <c r="D7" s="171" cm="1">
        <f t="array" ref="D7">IF(ROW(5:5)&lt;=$E$24, (ROW(5:5)), "")</f>
        <v>5</v>
      </c>
      <c r="E7" s="82">
        <v>14</v>
      </c>
      <c r="F7" s="82">
        <v>16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30</v>
      </c>
      <c r="J7" s="217"/>
      <c r="K7" s="322" t="s">
        <v>42</v>
      </c>
      <c r="L7" s="323">
        <v>230</v>
      </c>
      <c r="M7" s="324">
        <f t="shared" si="1"/>
        <v>0.31463748290013682</v>
      </c>
      <c r="N7" s="321"/>
      <c r="O7" s="327" t="s">
        <v>75</v>
      </c>
      <c r="P7" s="328">
        <f t="shared" si="2"/>
        <v>70</v>
      </c>
    </row>
    <row r="8" spans="1:17" ht="20.149999999999999" customHeight="1" x14ac:dyDescent="0.35">
      <c r="A8" s="304" t="s">
        <v>5</v>
      </c>
      <c r="B8" s="85">
        <f>MAX(L4:L15)</f>
        <v>430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280</v>
      </c>
      <c r="M8" s="324">
        <f t="shared" si="1"/>
        <v>0.38303693570451436</v>
      </c>
      <c r="N8" s="321"/>
      <c r="O8" s="327" t="s">
        <v>76</v>
      </c>
      <c r="P8" s="328">
        <f t="shared" si="2"/>
        <v>50</v>
      </c>
    </row>
    <row r="9" spans="1:17" ht="20.149999999999999" customHeight="1" x14ac:dyDescent="0.35">
      <c r="A9" s="304" t="s">
        <v>4</v>
      </c>
      <c r="B9" s="86">
        <v>430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310</v>
      </c>
      <c r="M9" s="324">
        <f t="shared" si="1"/>
        <v>0.42407660738714092</v>
      </c>
      <c r="N9" s="321"/>
      <c r="O9" s="327" t="s">
        <v>77</v>
      </c>
      <c r="P9" s="328">
        <f t="shared" si="2"/>
        <v>30</v>
      </c>
    </row>
    <row r="10" spans="1:17" ht="20.149999999999999" customHeight="1" thickBot="1" x14ac:dyDescent="0.4">
      <c r="A10" s="305" t="s">
        <v>6</v>
      </c>
      <c r="B10" s="87">
        <f>B7-B8</f>
        <v>301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330</v>
      </c>
      <c r="M10" s="324">
        <f t="shared" si="1"/>
        <v>0.45143638850889195</v>
      </c>
      <c r="N10" s="321"/>
      <c r="O10" s="327" t="s">
        <v>78</v>
      </c>
      <c r="P10" s="328">
        <f t="shared" si="2"/>
        <v>20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375</v>
      </c>
      <c r="M11" s="324">
        <f t="shared" si="1"/>
        <v>0.51299589603283169</v>
      </c>
      <c r="N11" s="321"/>
      <c r="O11" s="327" t="s">
        <v>79</v>
      </c>
      <c r="P11" s="328">
        <f t="shared" si="2"/>
        <v>45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410</v>
      </c>
      <c r="M12" s="324">
        <f t="shared" si="1"/>
        <v>0.560875512995896</v>
      </c>
      <c r="N12" s="321"/>
      <c r="O12" s="327" t="s">
        <v>80</v>
      </c>
      <c r="P12" s="328">
        <f t="shared" si="2"/>
        <v>35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172</v>
      </c>
      <c r="F13" s="312">
        <f>SUM(F3:F12)</f>
        <v>243</v>
      </c>
      <c r="G13" s="313">
        <f>SUM(G3:G12)</f>
        <v>4</v>
      </c>
      <c r="H13" s="314">
        <f>SUM(H3:H12)</f>
        <v>11</v>
      </c>
      <c r="I13" s="308">
        <f t="shared" si="0"/>
        <v>430</v>
      </c>
      <c r="J13" s="217"/>
      <c r="K13" s="322" t="s">
        <v>48</v>
      </c>
      <c r="L13" s="323">
        <v>430</v>
      </c>
      <c r="M13" s="324">
        <f t="shared" si="1"/>
        <v>0.58823529411764708</v>
      </c>
      <c r="N13" s="321"/>
      <c r="O13" s="329" t="s">
        <v>81</v>
      </c>
      <c r="P13" s="330">
        <f t="shared" si="2"/>
        <v>20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0.4</v>
      </c>
      <c r="F14" s="316">
        <f>IFERROR(F13/$B$8,0)</f>
        <v>0.56511627906976747</v>
      </c>
      <c r="G14" s="315">
        <f>IFERROR(G13/$B$8,0)</f>
        <v>9.3023255813953487E-3</v>
      </c>
      <c r="H14" s="317">
        <f>IFERROR(H13/$B$8,0)</f>
        <v>2.5581395348837209E-2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8</v>
      </c>
      <c r="E24" s="192">
        <f>CEILING($B$8,100)/100</f>
        <v>5</v>
      </c>
      <c r="F24" s="192"/>
      <c r="J24" s="216"/>
    </row>
    <row r="25" spans="1:10" ht="13" x14ac:dyDescent="0.25">
      <c r="D25" s="192">
        <f>MOD($B$8,100)</f>
        <v>30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3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4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4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4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4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4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4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4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4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4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4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5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6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ULjOF8inFFZxo48p5cdCG53DvCqrFiTBM3AZNOSYkRMcXHZ9oMT57kJNO12bRfpchOh/BGK1pLmdeFwVGaI2Zw==" saltValue="10hVoRmgjFo+mq7mkEg3KA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197" priority="1" operator="equal">
      <formula>0</formula>
    </cfRule>
    <cfRule type="cellIs" dxfId="196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195" priority="18">
      <formula>($D3&gt;$E$24)</formula>
    </cfRule>
  </conditionalFormatting>
  <conditionalFormatting sqref="E3:H12">
    <cfRule type="expression" dxfId="194" priority="17">
      <formula>($D3&lt;=$E$24)</formula>
    </cfRule>
  </conditionalFormatting>
  <conditionalFormatting sqref="E50:H59 E68:H72 E78:H80">
    <cfRule type="expression" dxfId="193" priority="26">
      <formula>($D50&lt;=$E$24)</formula>
    </cfRule>
    <cfRule type="expression" dxfId="192" priority="27">
      <formula>($D50&gt;$E$24)</formula>
    </cfRule>
  </conditionalFormatting>
  <conditionalFormatting sqref="E50:H59">
    <cfRule type="expression" dxfId="191" priority="3">
      <formula>AND(E50&lt;MAX(E$50:E50), NOT(ISBLANK(E50)), NOT(E50=0))</formula>
    </cfRule>
  </conditionalFormatting>
  <conditionalFormatting sqref="E68:H72">
    <cfRule type="expression" dxfId="190" priority="2">
      <formula>AND(E68&lt;MAX(E$68:E68), NOT(ISBLANK(E68)), NOT(E68=0))</formula>
    </cfRule>
  </conditionalFormatting>
  <conditionalFormatting sqref="E78:H80 E50:H59 E68:H72">
    <cfRule type="cellIs" dxfId="189" priority="25" operator="notBetween">
      <formula>0</formula>
      <formula>$B$8</formula>
    </cfRule>
  </conditionalFormatting>
  <conditionalFormatting sqref="E78:H80">
    <cfRule type="expression" dxfId="188" priority="13">
      <formula>AND(E78&lt;MAX(E$78:E78), NOT(ISBLANK(E78)), NOT(E78=0))</formula>
    </cfRule>
  </conditionalFormatting>
  <conditionalFormatting sqref="E3:I12">
    <cfRule type="cellIs" dxfId="187" priority="5" operator="notBetween">
      <formula>0</formula>
      <formula>100</formula>
    </cfRule>
  </conditionalFormatting>
  <conditionalFormatting sqref="E3:I14">
    <cfRule type="cellIs" dxfId="186" priority="8" operator="lessThan">
      <formula>0</formula>
    </cfRule>
  </conditionalFormatting>
  <conditionalFormatting sqref="E14:I14">
    <cfRule type="cellIs" dxfId="185" priority="11" operator="greaterThan">
      <formula>1</formula>
    </cfRule>
  </conditionalFormatting>
  <conditionalFormatting sqref="I3:I12">
    <cfRule type="expression" dxfId="184" priority="14">
      <formula>AND($D3=$E$24, I3=$D$25)</formula>
    </cfRule>
    <cfRule type="expression" dxfId="183" priority="15">
      <formula>AND($D3=$E$24, MOD(I3,100)&gt;$D$25)</formula>
    </cfRule>
    <cfRule type="cellIs" dxfId="182" priority="16" operator="equal">
      <formula>100</formula>
    </cfRule>
  </conditionalFormatting>
  <conditionalFormatting sqref="I3:I13">
    <cfRule type="cellIs" dxfId="181" priority="9" operator="equal">
      <formula>0</formula>
    </cfRule>
  </conditionalFormatting>
  <conditionalFormatting sqref="I13">
    <cfRule type="cellIs" dxfId="180" priority="24" operator="equal">
      <formula>$B$8</formula>
    </cfRule>
  </conditionalFormatting>
  <conditionalFormatting sqref="I14">
    <cfRule type="cellIs" dxfId="179" priority="10" operator="equal">
      <formula>1</formula>
    </cfRule>
    <cfRule type="cellIs" dxfId="178" priority="12" operator="lessThan">
      <formula>1</formula>
    </cfRule>
  </conditionalFormatting>
  <conditionalFormatting sqref="I50 I52:I59 I68:I72 I78:I80">
    <cfRule type="cellIs" dxfId="177" priority="21" operator="lessThan">
      <formula>0</formula>
    </cfRule>
    <cfRule type="cellIs" dxfId="176" priority="22" operator="equal">
      <formula>0</formula>
    </cfRule>
    <cfRule type="expression" dxfId="175" priority="23">
      <formula>OR(MOD($I50,100)=0,AND($D50=$E$24,MOD($I50,100)=$D$25))</formula>
    </cfRule>
  </conditionalFormatting>
  <conditionalFormatting sqref="I51">
    <cfRule type="cellIs" dxfId="174" priority="28" operator="notBetween">
      <formula>0</formula>
      <formula>$B$8</formula>
    </cfRule>
    <cfRule type="cellIs" dxfId="173" priority="29" operator="equal">
      <formula>0</formula>
    </cfRule>
    <cfRule type="expression" dxfId="172" priority="30">
      <formula>OR(MOD($I51,100)=0,AND($D51=$E$24,MOD($I51,100)=$D$25))</formula>
    </cfRule>
  </conditionalFormatting>
  <conditionalFormatting sqref="L4:L15">
    <cfRule type="expression" dxfId="171" priority="31">
      <formula>AND($L4&lt;$L3, NOT(ISBLANK($L4)))</formula>
    </cfRule>
    <cfRule type="cellIs" dxfId="170" priority="32" operator="greaterThan">
      <formula>$B$7</formula>
    </cfRule>
  </conditionalFormatting>
  <conditionalFormatting sqref="M4:M15">
    <cfRule type="cellIs" dxfId="169" priority="7" operator="greaterThan">
      <formula>1</formula>
    </cfRule>
  </conditionalFormatting>
  <dataValidations count="2">
    <dataValidation type="list" allowBlank="1" showInputMessage="1" showErrorMessage="1" sqref="C50:C59" xr:uid="{3E044D91-17E6-442A-90F0-B2C7D356FD02}">
      <formula1>$D$19:$D$21</formula1>
    </dataValidation>
    <dataValidation type="list" allowBlank="1" showInputMessage="1" showErrorMessage="1" sqref="D68:D72 D78:D82 D50:D59" xr:uid="{1BA8225A-CAF8-4210-B1C7-6DED23D39E3E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977-92DD-4AFD-98C6-352E963E7B10}">
  <sheetPr codeName="Feuil50">
    <tabColor rgb="FFB4A7D6"/>
  </sheetPr>
  <dimension ref="A1:Q82"/>
  <sheetViews>
    <sheetView workbookViewId="0">
      <selection activeCell="B10" sqref="B10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40</v>
      </c>
      <c r="F3" s="81">
        <v>58</v>
      </c>
      <c r="G3" s="89">
        <v>1</v>
      </c>
      <c r="H3" s="300">
        <v>1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47</v>
      </c>
      <c r="F4" s="82">
        <v>48</v>
      </c>
      <c r="G4" s="83">
        <v>2</v>
      </c>
      <c r="H4" s="84">
        <v>3</v>
      </c>
      <c r="I4" s="156">
        <f t="shared" si="0"/>
        <v>100</v>
      </c>
      <c r="J4" s="216"/>
      <c r="K4" s="322" t="s">
        <v>39</v>
      </c>
      <c r="L4" s="323">
        <v>40</v>
      </c>
      <c r="M4" s="324">
        <f t="shared" ref="M4:M15" si="1">IF(OR(L4=0, L4=""), NA(), L4/$B$7)</f>
        <v>6.2015503875968991E-2</v>
      </c>
      <c r="N4" s="321"/>
      <c r="O4" s="325" t="s">
        <v>72</v>
      </c>
      <c r="P4" s="326">
        <f t="shared" ref="P4:P13" si="2">IF(L4&lt;&gt;0,L4-L3,NA())</f>
        <v>40</v>
      </c>
    </row>
    <row r="5" spans="1:17" ht="20.149999999999999" customHeight="1" x14ac:dyDescent="0.35">
      <c r="A5" s="303" t="s">
        <v>91</v>
      </c>
      <c r="B5" s="219">
        <v>8</v>
      </c>
      <c r="D5" s="171" cm="1">
        <f t="array" ref="D5">IF(ROW(3:3)&lt;=$E$24, (ROW(3:3)), "")</f>
        <v>3</v>
      </c>
      <c r="E5" s="82">
        <v>32</v>
      </c>
      <c r="F5" s="82">
        <v>65</v>
      </c>
      <c r="G5" s="90">
        <v>1</v>
      </c>
      <c r="H5" s="299">
        <v>2</v>
      </c>
      <c r="I5" s="156">
        <f t="shared" si="0"/>
        <v>100</v>
      </c>
      <c r="J5" s="217"/>
      <c r="K5" s="322" t="s">
        <v>40</v>
      </c>
      <c r="L5" s="323">
        <v>92</v>
      </c>
      <c r="M5" s="324">
        <f t="shared" si="1"/>
        <v>0.14263565891472868</v>
      </c>
      <c r="N5" s="321"/>
      <c r="O5" s="327" t="s">
        <v>73</v>
      </c>
      <c r="P5" s="328">
        <f t="shared" si="2"/>
        <v>52</v>
      </c>
    </row>
    <row r="6" spans="1:17" ht="20.149999999999999" customHeight="1" x14ac:dyDescent="0.35">
      <c r="A6" s="304" t="s">
        <v>2</v>
      </c>
      <c r="B6" s="220" t="str">
        <f>INDEX(Synthèse!B:B,B5+2)</f>
        <v>COSEC</v>
      </c>
      <c r="D6" s="171" cm="1">
        <f t="array" ref="D6">IF(ROW(4:4)&lt;=$E$24, (ROW(4:4)), "")</f>
        <v>4</v>
      </c>
      <c r="E6" s="82">
        <v>30</v>
      </c>
      <c r="F6" s="82">
        <v>29</v>
      </c>
      <c r="G6" s="90">
        <v>0</v>
      </c>
      <c r="H6" s="299">
        <v>3</v>
      </c>
      <c r="I6" s="156">
        <f t="shared" si="0"/>
        <v>62</v>
      </c>
      <c r="J6" s="217"/>
      <c r="K6" s="322" t="s">
        <v>41</v>
      </c>
      <c r="L6" s="323">
        <v>146</v>
      </c>
      <c r="M6" s="324">
        <f t="shared" si="1"/>
        <v>0.22635658914728682</v>
      </c>
      <c r="N6" s="321"/>
      <c r="O6" s="327" t="s">
        <v>74</v>
      </c>
      <c r="P6" s="328">
        <f t="shared" si="2"/>
        <v>54</v>
      </c>
    </row>
    <row r="7" spans="1:17" ht="20.149999999999999" customHeight="1" x14ac:dyDescent="0.35">
      <c r="A7" s="304" t="s">
        <v>3</v>
      </c>
      <c r="B7" s="99">
        <f>INDEX(Synthèse!C:C,B5+2)</f>
        <v>645</v>
      </c>
      <c r="D7" s="171" t="str" cm="1">
        <f t="array" ref="D7">IF(ROW(5:5)&lt;=$E$24, (ROW(5:5)), "")</f>
        <v/>
      </c>
      <c r="E7" s="82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82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0</v>
      </c>
      <c r="J7" s="217"/>
      <c r="K7" s="322" t="s">
        <v>42</v>
      </c>
      <c r="L7" s="323">
        <v>212</v>
      </c>
      <c r="M7" s="324">
        <f t="shared" si="1"/>
        <v>0.32868217054263565</v>
      </c>
      <c r="N7" s="321"/>
      <c r="O7" s="327" t="s">
        <v>75</v>
      </c>
      <c r="P7" s="328">
        <f t="shared" si="2"/>
        <v>66</v>
      </c>
    </row>
    <row r="8" spans="1:17" ht="20.149999999999999" customHeight="1" x14ac:dyDescent="0.35">
      <c r="A8" s="304" t="s">
        <v>5</v>
      </c>
      <c r="B8" s="85">
        <f>MAX(L4:L15)</f>
        <v>362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267</v>
      </c>
      <c r="M8" s="324">
        <f t="shared" si="1"/>
        <v>0.413953488372093</v>
      </c>
      <c r="N8" s="321"/>
      <c r="O8" s="327" t="s">
        <v>76</v>
      </c>
      <c r="P8" s="328">
        <f t="shared" si="2"/>
        <v>55</v>
      </c>
    </row>
    <row r="9" spans="1:17" ht="20.149999999999999" customHeight="1" x14ac:dyDescent="0.35">
      <c r="A9" s="304" t="s">
        <v>4</v>
      </c>
      <c r="B9" s="86">
        <v>362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294</v>
      </c>
      <c r="M9" s="324">
        <f t="shared" si="1"/>
        <v>0.45581395348837211</v>
      </c>
      <c r="N9" s="321"/>
      <c r="O9" s="327" t="s">
        <v>77</v>
      </c>
      <c r="P9" s="328">
        <f t="shared" si="2"/>
        <v>27</v>
      </c>
    </row>
    <row r="10" spans="1:17" ht="20.149999999999999" customHeight="1" thickBot="1" x14ac:dyDescent="0.4">
      <c r="A10" s="305" t="s">
        <v>6</v>
      </c>
      <c r="B10" s="87">
        <f>B7-B8</f>
        <v>283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317</v>
      </c>
      <c r="M10" s="324">
        <f t="shared" si="1"/>
        <v>0.49147286821705427</v>
      </c>
      <c r="N10" s="321"/>
      <c r="O10" s="327" t="s">
        <v>78</v>
      </c>
      <c r="P10" s="328">
        <f t="shared" si="2"/>
        <v>23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330</v>
      </c>
      <c r="M11" s="324">
        <f t="shared" si="1"/>
        <v>0.51162790697674421</v>
      </c>
      <c r="N11" s="321"/>
      <c r="O11" s="327" t="s">
        <v>79</v>
      </c>
      <c r="P11" s="328">
        <f t="shared" si="2"/>
        <v>13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356</v>
      </c>
      <c r="M12" s="324">
        <f t="shared" si="1"/>
        <v>0.55193798449612408</v>
      </c>
      <c r="N12" s="321"/>
      <c r="O12" s="327" t="s">
        <v>80</v>
      </c>
      <c r="P12" s="328">
        <f t="shared" si="2"/>
        <v>26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149</v>
      </c>
      <c r="F13" s="312">
        <f>SUM(F3:F12)</f>
        <v>200</v>
      </c>
      <c r="G13" s="313">
        <f>SUM(G3:G12)</f>
        <v>4</v>
      </c>
      <c r="H13" s="314">
        <f>SUM(H3:H12)</f>
        <v>9</v>
      </c>
      <c r="I13" s="308">
        <f t="shared" si="0"/>
        <v>362</v>
      </c>
      <c r="J13" s="217"/>
      <c r="K13" s="322" t="s">
        <v>48</v>
      </c>
      <c r="L13" s="323">
        <v>362</v>
      </c>
      <c r="M13" s="324">
        <f t="shared" si="1"/>
        <v>0.5612403100775194</v>
      </c>
      <c r="N13" s="321"/>
      <c r="O13" s="329" t="s">
        <v>81</v>
      </c>
      <c r="P13" s="330">
        <f t="shared" si="2"/>
        <v>6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0.41160220994475138</v>
      </c>
      <c r="F14" s="316">
        <f>IFERROR(F13/$B$8,0)</f>
        <v>0.5524861878453039</v>
      </c>
      <c r="G14" s="315">
        <f>IFERROR(G13/$B$8,0)</f>
        <v>1.1049723756906077E-2</v>
      </c>
      <c r="H14" s="317">
        <f>IFERROR(H13/$B$8,0)</f>
        <v>2.4861878453038673E-2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7</v>
      </c>
      <c r="E24" s="192">
        <f>CEILING($B$8,100)/100</f>
        <v>4</v>
      </c>
      <c r="F24" s="192"/>
      <c r="J24" s="216"/>
    </row>
    <row r="25" spans="1:10" ht="13" x14ac:dyDescent="0.25">
      <c r="D25" s="192">
        <f>MOD($B$8,100)</f>
        <v>62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3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4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4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4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4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4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4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4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4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4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4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5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6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9Aa5Q/Oph8VC6BaMkaZAxWSy2A0Qp0U/0xPSTppbLBsTWMtFzMp+nH7RsJux/DuunqH30Vr30leLhFpS8WSHHw==" saltValue="U4xBMl+vpS9ep+fvmwA76A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168" priority="1" operator="equal">
      <formula>0</formula>
    </cfRule>
    <cfRule type="cellIs" dxfId="167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166" priority="18">
      <formula>($D3&gt;$E$24)</formula>
    </cfRule>
  </conditionalFormatting>
  <conditionalFormatting sqref="E3:H12">
    <cfRule type="expression" dxfId="165" priority="17">
      <formula>($D3&lt;=$E$24)</formula>
    </cfRule>
  </conditionalFormatting>
  <conditionalFormatting sqref="E50:H59 E68:H72 E78:H80">
    <cfRule type="expression" dxfId="164" priority="26">
      <formula>($D50&lt;=$E$24)</formula>
    </cfRule>
    <cfRule type="expression" dxfId="163" priority="27">
      <formula>($D50&gt;$E$24)</formula>
    </cfRule>
  </conditionalFormatting>
  <conditionalFormatting sqref="E50:H59">
    <cfRule type="expression" dxfId="162" priority="3">
      <formula>AND(E50&lt;MAX(E$50:E50), NOT(ISBLANK(E50)), NOT(E50=0))</formula>
    </cfRule>
  </conditionalFormatting>
  <conditionalFormatting sqref="E68:H72">
    <cfRule type="expression" dxfId="161" priority="2">
      <formula>AND(E68&lt;MAX(E$68:E68), NOT(ISBLANK(E68)), NOT(E68=0))</formula>
    </cfRule>
  </conditionalFormatting>
  <conditionalFormatting sqref="E78:H80 E50:H59 E68:H72">
    <cfRule type="cellIs" dxfId="160" priority="25" operator="notBetween">
      <formula>0</formula>
      <formula>$B$8</formula>
    </cfRule>
  </conditionalFormatting>
  <conditionalFormatting sqref="E78:H80">
    <cfRule type="expression" dxfId="159" priority="13">
      <formula>AND(E78&lt;MAX(E$78:E78), NOT(ISBLANK(E78)), NOT(E78=0))</formula>
    </cfRule>
  </conditionalFormatting>
  <conditionalFormatting sqref="E3:I12">
    <cfRule type="cellIs" dxfId="158" priority="5" operator="notBetween">
      <formula>0</formula>
      <formula>100</formula>
    </cfRule>
  </conditionalFormatting>
  <conditionalFormatting sqref="E3:I14">
    <cfRule type="cellIs" dxfId="157" priority="8" operator="lessThan">
      <formula>0</formula>
    </cfRule>
  </conditionalFormatting>
  <conditionalFormatting sqref="E14:I14">
    <cfRule type="cellIs" dxfId="156" priority="11" operator="greaterThan">
      <formula>1</formula>
    </cfRule>
  </conditionalFormatting>
  <conditionalFormatting sqref="I3:I12">
    <cfRule type="expression" dxfId="155" priority="14">
      <formula>AND($D3=$E$24, I3=$D$25)</formula>
    </cfRule>
    <cfRule type="expression" dxfId="154" priority="15">
      <formula>AND($D3=$E$24, MOD(I3,100)&gt;$D$25)</formula>
    </cfRule>
    <cfRule type="cellIs" dxfId="153" priority="16" operator="equal">
      <formula>100</formula>
    </cfRule>
  </conditionalFormatting>
  <conditionalFormatting sqref="I3:I13">
    <cfRule type="cellIs" dxfId="152" priority="9" operator="equal">
      <formula>0</formula>
    </cfRule>
  </conditionalFormatting>
  <conditionalFormatting sqref="I13">
    <cfRule type="cellIs" dxfId="151" priority="24" operator="equal">
      <formula>$B$8</formula>
    </cfRule>
  </conditionalFormatting>
  <conditionalFormatting sqref="I14">
    <cfRule type="cellIs" dxfId="150" priority="10" operator="equal">
      <formula>1</formula>
    </cfRule>
    <cfRule type="cellIs" dxfId="149" priority="12" operator="lessThan">
      <formula>1</formula>
    </cfRule>
  </conditionalFormatting>
  <conditionalFormatting sqref="I50 I52:I59 I68:I72 I78:I80">
    <cfRule type="cellIs" dxfId="148" priority="21" operator="lessThan">
      <formula>0</formula>
    </cfRule>
    <cfRule type="cellIs" dxfId="147" priority="22" operator="equal">
      <formula>0</formula>
    </cfRule>
    <cfRule type="expression" dxfId="146" priority="23">
      <formula>OR(MOD($I50,100)=0,AND($D50=$E$24,MOD($I50,100)=$D$25))</formula>
    </cfRule>
  </conditionalFormatting>
  <conditionalFormatting sqref="I51">
    <cfRule type="cellIs" dxfId="145" priority="28" operator="notBetween">
      <formula>0</formula>
      <formula>$B$8</formula>
    </cfRule>
    <cfRule type="cellIs" dxfId="144" priority="29" operator="equal">
      <formula>0</formula>
    </cfRule>
    <cfRule type="expression" dxfId="143" priority="30">
      <formula>OR(MOD($I51,100)=0,AND($D51=$E$24,MOD($I51,100)=$D$25))</formula>
    </cfRule>
  </conditionalFormatting>
  <conditionalFormatting sqref="L4:L15">
    <cfRule type="expression" dxfId="142" priority="31">
      <formula>AND($L4&lt;$L3, NOT(ISBLANK($L4)))</formula>
    </cfRule>
    <cfRule type="cellIs" dxfId="141" priority="32" operator="greaterThan">
      <formula>$B$7</formula>
    </cfRule>
  </conditionalFormatting>
  <conditionalFormatting sqref="M4:M15">
    <cfRule type="cellIs" dxfId="140" priority="7" operator="greaterThan">
      <formula>1</formula>
    </cfRule>
  </conditionalFormatting>
  <dataValidations count="2">
    <dataValidation type="list" allowBlank="1" showInputMessage="1" showErrorMessage="1" sqref="C50:C59" xr:uid="{19A5B50C-31CC-46E6-89BC-6AF571B9064A}">
      <formula1>$D$19:$D$21</formula1>
    </dataValidation>
    <dataValidation type="list" allowBlank="1" showInputMessage="1" showErrorMessage="1" sqref="D68:D72 D78:D82 D50:D59" xr:uid="{BC54B963-ADB2-42BC-9C63-043B4EC6CE8B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D998-443B-4E3E-905B-E2D22B692584}">
  <sheetPr codeName="Feuil51">
    <tabColor rgb="FFB4A7D6"/>
  </sheetPr>
  <dimension ref="A1:Q82"/>
  <sheetViews>
    <sheetView workbookViewId="0">
      <selection activeCell="B10" sqref="B10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46</v>
      </c>
      <c r="F3" s="81">
        <v>50</v>
      </c>
      <c r="G3" s="89">
        <v>3</v>
      </c>
      <c r="H3" s="300">
        <v>1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37</v>
      </c>
      <c r="F4" s="82">
        <v>55</v>
      </c>
      <c r="G4" s="83">
        <v>4</v>
      </c>
      <c r="H4" s="84">
        <v>4</v>
      </c>
      <c r="I4" s="156">
        <f t="shared" si="0"/>
        <v>100</v>
      </c>
      <c r="J4" s="216"/>
      <c r="K4" s="322" t="s">
        <v>39</v>
      </c>
      <c r="L4" s="323">
        <v>35</v>
      </c>
      <c r="M4" s="324">
        <f t="shared" ref="M4:M15" si="1">IF(OR(L4=0, L4=""), NA(), L4/$B$7)</f>
        <v>4.9295774647887321E-2</v>
      </c>
      <c r="N4" s="321"/>
      <c r="O4" s="325" t="s">
        <v>72</v>
      </c>
      <c r="P4" s="326">
        <f t="shared" ref="P4:P13" si="2">IF(L4&lt;&gt;0,L4-L3,NA())</f>
        <v>35</v>
      </c>
    </row>
    <row r="5" spans="1:17" ht="20.149999999999999" customHeight="1" x14ac:dyDescent="0.35">
      <c r="A5" s="303" t="s">
        <v>91</v>
      </c>
      <c r="B5" s="219">
        <v>9</v>
      </c>
      <c r="D5" s="171" cm="1">
        <f t="array" ref="D5">IF(ROW(3:3)&lt;=$E$24, (ROW(3:3)), "")</f>
        <v>3</v>
      </c>
      <c r="E5" s="82">
        <v>45</v>
      </c>
      <c r="F5" s="82">
        <v>51</v>
      </c>
      <c r="G5" s="90">
        <v>3</v>
      </c>
      <c r="H5" s="299">
        <v>1</v>
      </c>
      <c r="I5" s="156">
        <f t="shared" si="0"/>
        <v>100</v>
      </c>
      <c r="J5" s="217"/>
      <c r="K5" s="322" t="s">
        <v>40</v>
      </c>
      <c r="L5" s="323">
        <v>70</v>
      </c>
      <c r="M5" s="324">
        <f t="shared" si="1"/>
        <v>9.8591549295774641E-2</v>
      </c>
      <c r="N5" s="321"/>
      <c r="O5" s="327" t="s">
        <v>73</v>
      </c>
      <c r="P5" s="328">
        <f t="shared" si="2"/>
        <v>35</v>
      </c>
    </row>
    <row r="6" spans="1:17" ht="20.149999999999999" customHeight="1" x14ac:dyDescent="0.35">
      <c r="A6" s="304" t="s">
        <v>2</v>
      </c>
      <c r="B6" s="220" t="str">
        <f>INDEX(Synthèse!B:B,B5+2)</f>
        <v>CMM</v>
      </c>
      <c r="D6" s="171" cm="1">
        <f t="array" ref="D6">IF(ROW(4:4)&lt;=$E$24, (ROW(4:4)), "")</f>
        <v>4</v>
      </c>
      <c r="E6" s="82">
        <v>16</v>
      </c>
      <c r="F6" s="82">
        <v>14</v>
      </c>
      <c r="G6" s="90">
        <v>1</v>
      </c>
      <c r="H6" s="299" cm="1">
        <f t="array" ref="H6">IF(ISNUMBER($D6),
 IFERROR(
  IF($D6 = MIN(INDEX(Table1,,1)),
     INDEX(Table1,MATCH($D6,INDEX(Table1,,1),0),COLUMN()-3),
     INDEX(Table1,MATCH($D6,INDEX(Table1,,1),0),COLUMN()-3)-INDEX(Table1,MATCH($D6,INDEX(Table1,,1),0)-1,COLUMN()-3)
  ),
  IFERROR(
   IF($D6 = MIN(INDEX(Table2,,1)),
      INDEX(Table2,MATCH($D6,INDEX(Table2,,1),0),COLUMN()-3),
      INDEX(Table2,MATCH($D6,INDEX(Table2,,1),0),COLUMN()-3)-INDEX(Table2,MATCH($D6,INDEX(Table2,,1),0)-1,COLUMN()-3)
   ),
   IFERROR(
    IF($D6 = MIN(INDEX(Table3,,1)),
       INDEX(Table3,MATCH($D6,INDEX(Table3,,1),0),COLUMN()-3),
       INDEX(Table3,MATCH($D6,INDEX(Table3,,1),0),COLUMN()-3)-INDEX(Table3,MATCH($D6,INDEX(Table3,,1),0)-1,COLUMN()-3)
    ),
    0
   )
  )
 ),
0)</f>
        <v>0</v>
      </c>
      <c r="I6" s="156">
        <f t="shared" si="0"/>
        <v>31</v>
      </c>
      <c r="J6" s="217"/>
      <c r="K6" s="322" t="s">
        <v>41</v>
      </c>
      <c r="L6" s="323">
        <v>127</v>
      </c>
      <c r="M6" s="324">
        <f t="shared" si="1"/>
        <v>0.17887323943661973</v>
      </c>
      <c r="N6" s="321"/>
      <c r="O6" s="327" t="s">
        <v>74</v>
      </c>
      <c r="P6" s="328">
        <f t="shared" si="2"/>
        <v>57</v>
      </c>
    </row>
    <row r="7" spans="1:17" ht="20.149999999999999" customHeight="1" x14ac:dyDescent="0.35">
      <c r="A7" s="304" t="s">
        <v>3</v>
      </c>
      <c r="B7" s="99">
        <f>INDEX(Synthèse!C:C,B5+2)</f>
        <v>710</v>
      </c>
      <c r="D7" s="171" t="str" cm="1">
        <f t="array" ref="D7">IF(ROW(5:5)&lt;=$E$24, (ROW(5:5)), "")</f>
        <v/>
      </c>
      <c r="E7" s="82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82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0</v>
      </c>
      <c r="J7" s="217"/>
      <c r="K7" s="322" t="s">
        <v>42</v>
      </c>
      <c r="L7" s="323">
        <v>180</v>
      </c>
      <c r="M7" s="324">
        <f t="shared" si="1"/>
        <v>0.25352112676056338</v>
      </c>
      <c r="N7" s="321"/>
      <c r="O7" s="327" t="s">
        <v>75</v>
      </c>
      <c r="P7" s="328">
        <f t="shared" si="2"/>
        <v>53</v>
      </c>
    </row>
    <row r="8" spans="1:17" ht="20.149999999999999" customHeight="1" x14ac:dyDescent="0.35">
      <c r="A8" s="304" t="s">
        <v>5</v>
      </c>
      <c r="B8" s="85">
        <f>MAX(L4:L15)</f>
        <v>331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213</v>
      </c>
      <c r="M8" s="324">
        <f t="shared" si="1"/>
        <v>0.3</v>
      </c>
      <c r="N8" s="321"/>
      <c r="O8" s="327" t="s">
        <v>76</v>
      </c>
      <c r="P8" s="328">
        <f t="shared" si="2"/>
        <v>33</v>
      </c>
    </row>
    <row r="9" spans="1:17" ht="20.149999999999999" customHeight="1" x14ac:dyDescent="0.35">
      <c r="A9" s="304" t="s">
        <v>4</v>
      </c>
      <c r="B9" s="86">
        <v>331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240</v>
      </c>
      <c r="M9" s="324">
        <f t="shared" si="1"/>
        <v>0.3380281690140845</v>
      </c>
      <c r="N9" s="321"/>
      <c r="O9" s="327" t="s">
        <v>77</v>
      </c>
      <c r="P9" s="328">
        <f t="shared" si="2"/>
        <v>27</v>
      </c>
    </row>
    <row r="10" spans="1:17" ht="20.149999999999999" customHeight="1" thickBot="1" x14ac:dyDescent="0.4">
      <c r="A10" s="305" t="s">
        <v>6</v>
      </c>
      <c r="B10" s="87">
        <f>B7-B8</f>
        <v>379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264</v>
      </c>
      <c r="M10" s="324">
        <f t="shared" si="1"/>
        <v>0.37183098591549296</v>
      </c>
      <c r="N10" s="321"/>
      <c r="O10" s="327" t="s">
        <v>78</v>
      </c>
      <c r="P10" s="328">
        <f t="shared" si="2"/>
        <v>24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294</v>
      </c>
      <c r="M11" s="324">
        <f t="shared" si="1"/>
        <v>0.41408450704225352</v>
      </c>
      <c r="N11" s="321"/>
      <c r="O11" s="327" t="s">
        <v>79</v>
      </c>
      <c r="P11" s="328">
        <f t="shared" si="2"/>
        <v>30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320</v>
      </c>
      <c r="M12" s="324">
        <f t="shared" si="1"/>
        <v>0.45070422535211269</v>
      </c>
      <c r="N12" s="321"/>
      <c r="O12" s="327" t="s">
        <v>80</v>
      </c>
      <c r="P12" s="328">
        <f t="shared" si="2"/>
        <v>26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144</v>
      </c>
      <c r="F13" s="312">
        <f>SUM(F3:F12)</f>
        <v>170</v>
      </c>
      <c r="G13" s="313">
        <f>SUM(G3:G12)</f>
        <v>11</v>
      </c>
      <c r="H13" s="314">
        <f>SUM(H3:H12)</f>
        <v>6</v>
      </c>
      <c r="I13" s="308">
        <f t="shared" si="0"/>
        <v>331</v>
      </c>
      <c r="J13" s="217"/>
      <c r="K13" s="322" t="s">
        <v>48</v>
      </c>
      <c r="L13" s="323">
        <v>331</v>
      </c>
      <c r="M13" s="324">
        <f t="shared" si="1"/>
        <v>0.46619718309859154</v>
      </c>
      <c r="N13" s="321"/>
      <c r="O13" s="329" t="s">
        <v>81</v>
      </c>
      <c r="P13" s="330">
        <f t="shared" si="2"/>
        <v>11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0.43504531722054379</v>
      </c>
      <c r="F14" s="316">
        <f>IFERROR(F13/$B$8,0)</f>
        <v>0.51359516616314205</v>
      </c>
      <c r="G14" s="315">
        <f>IFERROR(G13/$B$8,0)</f>
        <v>3.3232628398791542E-2</v>
      </c>
      <c r="H14" s="317">
        <f>IFERROR(H13/$B$8,0)</f>
        <v>1.812688821752266E-2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8</v>
      </c>
      <c r="E24" s="192">
        <f>CEILING($B$8,100)/100</f>
        <v>4</v>
      </c>
      <c r="F24" s="192"/>
      <c r="J24" s="216"/>
    </row>
    <row r="25" spans="1:10" ht="13" x14ac:dyDescent="0.25">
      <c r="D25" s="192">
        <f>MOD($B$8,100)</f>
        <v>31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3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4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4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4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4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4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4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4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4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4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4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5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6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Y8Vw/uAPnkzAW0TVSq8y3jZVP5eRgMkTUBQkNn04ifz3H4xR5mVHFrqqmI4vfsgSs21LbsY+SAG4hBkCy+gD1w==" saltValue="//N9nBVjty5nub48ePdTpw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139" priority="1" operator="equal">
      <formula>0</formula>
    </cfRule>
    <cfRule type="cellIs" dxfId="138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137" priority="18">
      <formula>($D3&gt;$E$24)</formula>
    </cfRule>
  </conditionalFormatting>
  <conditionalFormatting sqref="E3:H12">
    <cfRule type="expression" dxfId="136" priority="17">
      <formula>($D3&lt;=$E$24)</formula>
    </cfRule>
  </conditionalFormatting>
  <conditionalFormatting sqref="E50:H59 E68:H72 E78:H80">
    <cfRule type="expression" dxfId="135" priority="26">
      <formula>($D50&lt;=$E$24)</formula>
    </cfRule>
    <cfRule type="expression" dxfId="134" priority="27">
      <formula>($D50&gt;$E$24)</formula>
    </cfRule>
  </conditionalFormatting>
  <conditionalFormatting sqref="E50:H59">
    <cfRule type="expression" dxfId="133" priority="3">
      <formula>AND(E50&lt;MAX(E$50:E50), NOT(ISBLANK(E50)), NOT(E50=0))</formula>
    </cfRule>
  </conditionalFormatting>
  <conditionalFormatting sqref="E68:H72">
    <cfRule type="expression" dxfId="132" priority="2">
      <formula>AND(E68&lt;MAX(E$68:E68), NOT(ISBLANK(E68)), NOT(E68=0))</formula>
    </cfRule>
  </conditionalFormatting>
  <conditionalFormatting sqref="E78:H80 E50:H59 E68:H72">
    <cfRule type="cellIs" dxfId="131" priority="25" operator="notBetween">
      <formula>0</formula>
      <formula>$B$8</formula>
    </cfRule>
  </conditionalFormatting>
  <conditionalFormatting sqref="E78:H80">
    <cfRule type="expression" dxfId="130" priority="13">
      <formula>AND(E78&lt;MAX(E$78:E78), NOT(ISBLANK(E78)), NOT(E78=0))</formula>
    </cfRule>
  </conditionalFormatting>
  <conditionalFormatting sqref="E3:I12">
    <cfRule type="cellIs" dxfId="129" priority="5" operator="notBetween">
      <formula>0</formula>
      <formula>100</formula>
    </cfRule>
  </conditionalFormatting>
  <conditionalFormatting sqref="E3:I14">
    <cfRule type="cellIs" dxfId="128" priority="8" operator="lessThan">
      <formula>0</formula>
    </cfRule>
  </conditionalFormatting>
  <conditionalFormatting sqref="E14:I14">
    <cfRule type="cellIs" dxfId="127" priority="11" operator="greaterThan">
      <formula>1</formula>
    </cfRule>
  </conditionalFormatting>
  <conditionalFormatting sqref="I3:I12">
    <cfRule type="expression" dxfId="126" priority="14">
      <formula>AND($D3=$E$24, I3=$D$25)</formula>
    </cfRule>
    <cfRule type="expression" dxfId="125" priority="15">
      <formula>AND($D3=$E$24, MOD(I3,100)&gt;$D$25)</formula>
    </cfRule>
    <cfRule type="cellIs" dxfId="124" priority="16" operator="equal">
      <formula>100</formula>
    </cfRule>
  </conditionalFormatting>
  <conditionalFormatting sqref="I3:I13">
    <cfRule type="cellIs" dxfId="123" priority="9" operator="equal">
      <formula>0</formula>
    </cfRule>
  </conditionalFormatting>
  <conditionalFormatting sqref="I13">
    <cfRule type="cellIs" dxfId="122" priority="24" operator="equal">
      <formula>$B$8</formula>
    </cfRule>
  </conditionalFormatting>
  <conditionalFormatting sqref="I14">
    <cfRule type="cellIs" dxfId="121" priority="10" operator="equal">
      <formula>1</formula>
    </cfRule>
    <cfRule type="cellIs" dxfId="120" priority="12" operator="lessThan">
      <formula>1</formula>
    </cfRule>
  </conditionalFormatting>
  <conditionalFormatting sqref="I50 I52:I59 I68:I72 I78:I80">
    <cfRule type="cellIs" dxfId="119" priority="21" operator="lessThan">
      <formula>0</formula>
    </cfRule>
    <cfRule type="cellIs" dxfId="118" priority="22" operator="equal">
      <formula>0</formula>
    </cfRule>
    <cfRule type="expression" dxfId="117" priority="23">
      <formula>OR(MOD($I50,100)=0,AND($D50=$E$24,MOD($I50,100)=$D$25))</formula>
    </cfRule>
  </conditionalFormatting>
  <conditionalFormatting sqref="I51">
    <cfRule type="cellIs" dxfId="116" priority="28" operator="notBetween">
      <formula>0</formula>
      <formula>$B$8</formula>
    </cfRule>
    <cfRule type="cellIs" dxfId="115" priority="29" operator="equal">
      <formula>0</formula>
    </cfRule>
    <cfRule type="expression" dxfId="114" priority="30">
      <formula>OR(MOD($I51,100)=0,AND($D51=$E$24,MOD($I51,100)=$D$25))</formula>
    </cfRule>
  </conditionalFormatting>
  <conditionalFormatting sqref="L4:L15">
    <cfRule type="expression" dxfId="113" priority="31">
      <formula>AND($L4&lt;$L3, NOT(ISBLANK($L4)))</formula>
    </cfRule>
    <cfRule type="cellIs" dxfId="112" priority="32" operator="greaterThan">
      <formula>$B$7</formula>
    </cfRule>
  </conditionalFormatting>
  <conditionalFormatting sqref="M4:M15">
    <cfRule type="cellIs" dxfId="111" priority="7" operator="greaterThan">
      <formula>1</formula>
    </cfRule>
  </conditionalFormatting>
  <dataValidations count="2">
    <dataValidation type="list" allowBlank="1" showInputMessage="1" showErrorMessage="1" sqref="C50:C59" xr:uid="{7E5AC269-FD94-4E89-9676-2DD64DD71D94}">
      <formula1>$D$19:$D$21</formula1>
    </dataValidation>
    <dataValidation type="list" allowBlank="1" showInputMessage="1" showErrorMessage="1" sqref="D68:D72 D78:D82 D50:D59" xr:uid="{E105B885-69E8-4486-8B15-8934BF1B9750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CE71-7A15-4F5E-932F-76F4300C7202}">
  <sheetPr codeName="Feuil52">
    <tabColor rgb="FFB4A7D6"/>
  </sheetPr>
  <dimension ref="A1:Q82"/>
  <sheetViews>
    <sheetView workbookViewId="0">
      <selection activeCell="B10" sqref="B10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44</v>
      </c>
      <c r="F3" s="81">
        <v>52</v>
      </c>
      <c r="G3" s="89">
        <v>2</v>
      </c>
      <c r="H3" s="300">
        <v>2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49</v>
      </c>
      <c r="F4" s="82">
        <v>48</v>
      </c>
      <c r="G4" s="83">
        <v>2</v>
      </c>
      <c r="H4" s="84">
        <v>1</v>
      </c>
      <c r="I4" s="156">
        <f t="shared" si="0"/>
        <v>100</v>
      </c>
      <c r="J4" s="216"/>
      <c r="K4" s="322" t="s">
        <v>39</v>
      </c>
      <c r="L4" s="323">
        <v>30</v>
      </c>
      <c r="M4" s="324">
        <f t="shared" ref="M4:M15" si="1">IF(OR(L4=0, L4=""), NA(), L4/$B$7)</f>
        <v>4.9261083743842367E-2</v>
      </c>
      <c r="N4" s="321"/>
      <c r="O4" s="325" t="s">
        <v>72</v>
      </c>
      <c r="P4" s="326">
        <f t="shared" ref="P4:P13" si="2">IF(L4&lt;&gt;0,L4-L3,NA())</f>
        <v>30</v>
      </c>
    </row>
    <row r="5" spans="1:17" ht="20.149999999999999" customHeight="1" x14ac:dyDescent="0.35">
      <c r="A5" s="303" t="s">
        <v>91</v>
      </c>
      <c r="B5" s="219">
        <v>10</v>
      </c>
      <c r="D5" s="171" cm="1">
        <f t="array" ref="D5">IF(ROW(3:3)&lt;=$E$24, (ROW(3:3)), "")</f>
        <v>3</v>
      </c>
      <c r="E5" s="82">
        <v>43</v>
      </c>
      <c r="F5" s="82">
        <v>51</v>
      </c>
      <c r="G5" s="90">
        <v>3</v>
      </c>
      <c r="H5" s="299">
        <v>3</v>
      </c>
      <c r="I5" s="156">
        <f t="shared" si="0"/>
        <v>100</v>
      </c>
      <c r="J5" s="217"/>
      <c r="K5" s="322" t="s">
        <v>40</v>
      </c>
      <c r="L5" s="323">
        <v>84</v>
      </c>
      <c r="M5" s="324">
        <f t="shared" si="1"/>
        <v>0.13793103448275862</v>
      </c>
      <c r="N5" s="321"/>
      <c r="O5" s="327" t="s">
        <v>73</v>
      </c>
      <c r="P5" s="328">
        <f t="shared" si="2"/>
        <v>54</v>
      </c>
    </row>
    <row r="6" spans="1:17" ht="20.149999999999999" customHeight="1" x14ac:dyDescent="0.35">
      <c r="A6" s="304" t="s">
        <v>2</v>
      </c>
      <c r="B6" s="220" t="str">
        <f>INDEX(Synthèse!B:B,B5+2)</f>
        <v>CMM</v>
      </c>
      <c r="D6" s="171" cm="1">
        <f t="array" ref="D6">IF(ROW(4:4)&lt;=$E$24, (ROW(4:4)), "")</f>
        <v>4</v>
      </c>
      <c r="E6" s="82">
        <v>39</v>
      </c>
      <c r="F6" s="82">
        <v>17</v>
      </c>
      <c r="G6" s="90" cm="1">
        <f t="array" ref="G6">IF(ISNUMBER($D6),
 IFERROR(
  IF($D6 = MIN(INDEX(Table1,,1)),
     INDEX(Table1,MATCH($D6,INDEX(Table1,,1),0),COLUMN()-3),
     INDEX(Table1,MATCH($D6,INDEX(Table1,,1),0),COLUMN()-3)-INDEX(Table1,MATCH($D6,INDEX(Table1,,1),0)-1,COLUMN()-3)
  ),
  IFERROR(
   IF($D6 = MIN(INDEX(Table2,,1)),
      INDEX(Table2,MATCH($D6,INDEX(Table2,,1),0),COLUMN()-3),
      INDEX(Table2,MATCH($D6,INDEX(Table2,,1),0),COLUMN()-3)-INDEX(Table2,MATCH($D6,INDEX(Table2,,1),0)-1,COLUMN()-3)
   ),
   IFERROR(
    IF($D6 = MIN(INDEX(Table3,,1)),
       INDEX(Table3,MATCH($D6,INDEX(Table3,,1),0),COLUMN()-3),
       INDEX(Table3,MATCH($D6,INDEX(Table3,,1),0),COLUMN()-3)-INDEX(Table3,MATCH($D6,INDEX(Table3,,1),0)-1,COLUMN()-3)
    ),
    0
   )
  )
 ),
0)</f>
        <v>0</v>
      </c>
      <c r="H6" s="299">
        <v>1</v>
      </c>
      <c r="I6" s="156">
        <f t="shared" si="0"/>
        <v>57</v>
      </c>
      <c r="J6" s="217"/>
      <c r="K6" s="322" t="s">
        <v>41</v>
      </c>
      <c r="L6" s="323">
        <v>150</v>
      </c>
      <c r="M6" s="324">
        <f t="shared" si="1"/>
        <v>0.24630541871921183</v>
      </c>
      <c r="N6" s="321"/>
      <c r="O6" s="327" t="s">
        <v>74</v>
      </c>
      <c r="P6" s="328">
        <f t="shared" si="2"/>
        <v>66</v>
      </c>
    </row>
    <row r="7" spans="1:17" ht="20.149999999999999" customHeight="1" x14ac:dyDescent="0.35">
      <c r="A7" s="304" t="s">
        <v>3</v>
      </c>
      <c r="B7" s="99">
        <f>INDEX(Synthèse!C:C,B5+2)</f>
        <v>609</v>
      </c>
      <c r="D7" s="171" t="str" cm="1">
        <f t="array" ref="D7">IF(ROW(5:5)&lt;=$E$24, (ROW(5:5)), "")</f>
        <v/>
      </c>
      <c r="E7" s="82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82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0</v>
      </c>
      <c r="J7" s="217"/>
      <c r="K7" s="322" t="s">
        <v>42</v>
      </c>
      <c r="L7" s="323">
        <v>220</v>
      </c>
      <c r="M7" s="324">
        <f t="shared" si="1"/>
        <v>0.36124794745484401</v>
      </c>
      <c r="N7" s="321"/>
      <c r="O7" s="327" t="s">
        <v>75</v>
      </c>
      <c r="P7" s="328">
        <f t="shared" si="2"/>
        <v>70</v>
      </c>
    </row>
    <row r="8" spans="1:17" ht="20.149999999999999" customHeight="1" x14ac:dyDescent="0.35">
      <c r="A8" s="304" t="s">
        <v>5</v>
      </c>
      <c r="B8" s="85">
        <f>MAX(L4:L15)</f>
        <v>357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270</v>
      </c>
      <c r="M8" s="324">
        <f t="shared" si="1"/>
        <v>0.44334975369458129</v>
      </c>
      <c r="N8" s="321"/>
      <c r="O8" s="327" t="s">
        <v>76</v>
      </c>
      <c r="P8" s="328">
        <f t="shared" si="2"/>
        <v>50</v>
      </c>
    </row>
    <row r="9" spans="1:17" ht="20.149999999999999" customHeight="1" x14ac:dyDescent="0.35">
      <c r="A9" s="304" t="s">
        <v>4</v>
      </c>
      <c r="B9" s="86">
        <v>357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282</v>
      </c>
      <c r="M9" s="324">
        <f t="shared" si="1"/>
        <v>0.46305418719211822</v>
      </c>
      <c r="N9" s="321"/>
      <c r="O9" s="327" t="s">
        <v>77</v>
      </c>
      <c r="P9" s="328">
        <f t="shared" si="2"/>
        <v>12</v>
      </c>
    </row>
    <row r="10" spans="1:17" ht="20.149999999999999" customHeight="1" thickBot="1" x14ac:dyDescent="0.4">
      <c r="A10" s="305" t="s">
        <v>6</v>
      </c>
      <c r="B10" s="87">
        <f>B7-B8</f>
        <v>252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305</v>
      </c>
      <c r="M10" s="324">
        <f t="shared" si="1"/>
        <v>0.50082101806239743</v>
      </c>
      <c r="N10" s="321"/>
      <c r="O10" s="327" t="s">
        <v>78</v>
      </c>
      <c r="P10" s="328">
        <f t="shared" si="2"/>
        <v>23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325</v>
      </c>
      <c r="M11" s="324">
        <f t="shared" si="1"/>
        <v>0.5336617405582923</v>
      </c>
      <c r="N11" s="321"/>
      <c r="O11" s="327" t="s">
        <v>79</v>
      </c>
      <c r="P11" s="328">
        <f t="shared" si="2"/>
        <v>20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345</v>
      </c>
      <c r="M12" s="324">
        <f t="shared" si="1"/>
        <v>0.56650246305418717</v>
      </c>
      <c r="N12" s="321"/>
      <c r="O12" s="327" t="s">
        <v>80</v>
      </c>
      <c r="P12" s="328">
        <f t="shared" si="2"/>
        <v>20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175</v>
      </c>
      <c r="F13" s="312">
        <f>SUM(F3:F12)</f>
        <v>168</v>
      </c>
      <c r="G13" s="313">
        <f>SUM(G3:G12)</f>
        <v>7</v>
      </c>
      <c r="H13" s="314">
        <f>SUM(H3:H12)</f>
        <v>7</v>
      </c>
      <c r="I13" s="308">
        <f t="shared" si="0"/>
        <v>357</v>
      </c>
      <c r="J13" s="217"/>
      <c r="K13" s="322" t="s">
        <v>48</v>
      </c>
      <c r="L13" s="323">
        <v>357</v>
      </c>
      <c r="M13" s="324">
        <f t="shared" si="1"/>
        <v>0.58620689655172409</v>
      </c>
      <c r="N13" s="321"/>
      <c r="O13" s="329" t="s">
        <v>81</v>
      </c>
      <c r="P13" s="330">
        <f t="shared" si="2"/>
        <v>12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0.49019607843137253</v>
      </c>
      <c r="F14" s="316">
        <f>IFERROR(F13/$B$8,0)</f>
        <v>0.47058823529411764</v>
      </c>
      <c r="G14" s="315">
        <f>IFERROR(G13/$B$8,0)</f>
        <v>1.9607843137254902E-2</v>
      </c>
      <c r="H14" s="317">
        <f>IFERROR(H13/$B$8,0)</f>
        <v>1.9607843137254902E-2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7</v>
      </c>
      <c r="E24" s="192">
        <f>CEILING($B$8,100)/100</f>
        <v>4</v>
      </c>
      <c r="F24" s="192"/>
      <c r="J24" s="216"/>
    </row>
    <row r="25" spans="1:10" ht="13" x14ac:dyDescent="0.25">
      <c r="D25" s="192">
        <f>MOD($B$8,100)</f>
        <v>57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3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4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4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4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4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4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4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4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4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4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4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5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6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nSjJ0Z8P1swcYsdos48ONwT+orLq1iPf6uTGTwGVbYdv40f+zUwsPDgPw1vyZ9fetVaevJVA6+oMWZ3Y/WUWaw==" saltValue="y58sPslss7QQF72aQdYdzA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110" priority="1" operator="equal">
      <formula>0</formula>
    </cfRule>
    <cfRule type="cellIs" dxfId="109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108" priority="18">
      <formula>($D3&gt;$E$24)</formula>
    </cfRule>
  </conditionalFormatting>
  <conditionalFormatting sqref="E3:H12">
    <cfRule type="expression" dxfId="107" priority="17">
      <formula>($D3&lt;=$E$24)</formula>
    </cfRule>
  </conditionalFormatting>
  <conditionalFormatting sqref="E50:H59 E68:H72 E78:H80">
    <cfRule type="expression" dxfId="106" priority="26">
      <formula>($D50&lt;=$E$24)</formula>
    </cfRule>
    <cfRule type="expression" dxfId="105" priority="27">
      <formula>($D50&gt;$E$24)</formula>
    </cfRule>
  </conditionalFormatting>
  <conditionalFormatting sqref="E50:H59">
    <cfRule type="expression" dxfId="104" priority="3">
      <formula>AND(E50&lt;MAX(E$50:E50), NOT(ISBLANK(E50)), NOT(E50=0))</formula>
    </cfRule>
  </conditionalFormatting>
  <conditionalFormatting sqref="E68:H72">
    <cfRule type="expression" dxfId="103" priority="2">
      <formula>AND(E68&lt;MAX(E$68:E68), NOT(ISBLANK(E68)), NOT(E68=0))</formula>
    </cfRule>
  </conditionalFormatting>
  <conditionalFormatting sqref="E78:H80 E50:H59 E68:H72">
    <cfRule type="cellIs" dxfId="102" priority="25" operator="notBetween">
      <formula>0</formula>
      <formula>$B$8</formula>
    </cfRule>
  </conditionalFormatting>
  <conditionalFormatting sqref="E78:H80">
    <cfRule type="expression" dxfId="101" priority="13">
      <formula>AND(E78&lt;MAX(E$78:E78), NOT(ISBLANK(E78)), NOT(E78=0))</formula>
    </cfRule>
  </conditionalFormatting>
  <conditionalFormatting sqref="E3:I12">
    <cfRule type="cellIs" dxfId="100" priority="5" operator="notBetween">
      <formula>0</formula>
      <formula>100</formula>
    </cfRule>
  </conditionalFormatting>
  <conditionalFormatting sqref="E3:I14">
    <cfRule type="cellIs" dxfId="99" priority="8" operator="lessThan">
      <formula>0</formula>
    </cfRule>
  </conditionalFormatting>
  <conditionalFormatting sqref="E14:I14">
    <cfRule type="cellIs" dxfId="98" priority="11" operator="greaterThan">
      <formula>1</formula>
    </cfRule>
  </conditionalFormatting>
  <conditionalFormatting sqref="I3:I12">
    <cfRule type="expression" dxfId="97" priority="14">
      <formula>AND($D3=$E$24, I3=$D$25)</formula>
    </cfRule>
    <cfRule type="expression" dxfId="96" priority="15">
      <formula>AND($D3=$E$24, MOD(I3,100)&gt;$D$25)</formula>
    </cfRule>
    <cfRule type="cellIs" dxfId="95" priority="16" operator="equal">
      <formula>100</formula>
    </cfRule>
  </conditionalFormatting>
  <conditionalFormatting sqref="I3:I13">
    <cfRule type="cellIs" dxfId="94" priority="9" operator="equal">
      <formula>0</formula>
    </cfRule>
  </conditionalFormatting>
  <conditionalFormatting sqref="I13">
    <cfRule type="cellIs" dxfId="93" priority="24" operator="equal">
      <formula>$B$8</formula>
    </cfRule>
  </conditionalFormatting>
  <conditionalFormatting sqref="I14">
    <cfRule type="cellIs" dxfId="92" priority="10" operator="equal">
      <formula>1</formula>
    </cfRule>
    <cfRule type="cellIs" dxfId="91" priority="12" operator="lessThan">
      <formula>1</formula>
    </cfRule>
  </conditionalFormatting>
  <conditionalFormatting sqref="I50 I52:I59 I68:I72 I78:I80">
    <cfRule type="cellIs" dxfId="90" priority="21" operator="lessThan">
      <formula>0</formula>
    </cfRule>
    <cfRule type="cellIs" dxfId="89" priority="22" operator="equal">
      <formula>0</formula>
    </cfRule>
    <cfRule type="expression" dxfId="88" priority="23">
      <formula>OR(MOD($I50,100)=0,AND($D50=$E$24,MOD($I50,100)=$D$25))</formula>
    </cfRule>
  </conditionalFormatting>
  <conditionalFormatting sqref="I51">
    <cfRule type="cellIs" dxfId="87" priority="28" operator="notBetween">
      <formula>0</formula>
      <formula>$B$8</formula>
    </cfRule>
    <cfRule type="cellIs" dxfId="86" priority="29" operator="equal">
      <formula>0</formula>
    </cfRule>
    <cfRule type="expression" dxfId="85" priority="30">
      <formula>OR(MOD($I51,100)=0,AND($D51=$E$24,MOD($I51,100)=$D$25))</formula>
    </cfRule>
  </conditionalFormatting>
  <conditionalFormatting sqref="L4:L15">
    <cfRule type="expression" dxfId="84" priority="31">
      <formula>AND($L4&lt;$L3, NOT(ISBLANK($L4)))</formula>
    </cfRule>
    <cfRule type="cellIs" dxfId="83" priority="32" operator="greaterThan">
      <formula>$B$7</formula>
    </cfRule>
  </conditionalFormatting>
  <conditionalFormatting sqref="M4:M15">
    <cfRule type="cellIs" dxfId="82" priority="7" operator="greaterThan">
      <formula>1</formula>
    </cfRule>
  </conditionalFormatting>
  <dataValidations count="2">
    <dataValidation type="list" allowBlank="1" showInputMessage="1" showErrorMessage="1" sqref="C50:C59" xr:uid="{672EC9A0-F2F0-4F35-9C83-51328A333D6B}">
      <formula1>$D$19:$D$21</formula1>
    </dataValidation>
    <dataValidation type="list" allowBlank="1" showInputMessage="1" showErrorMessage="1" sqref="D68:D72 D78:D82 D50:D59" xr:uid="{1D6BBC2E-EB61-4140-9843-D22829ECC4B1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3016-D118-4320-9962-927128D3A308}">
  <sheetPr codeName="Feuil53">
    <tabColor rgb="FFB4A7D6"/>
  </sheetPr>
  <dimension ref="A1:Q82"/>
  <sheetViews>
    <sheetView workbookViewId="0">
      <selection activeCell="B9" sqref="B9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53</v>
      </c>
      <c r="F3" s="81">
        <v>44</v>
      </c>
      <c r="G3" s="89">
        <v>1</v>
      </c>
      <c r="H3" s="300">
        <v>2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55</v>
      </c>
      <c r="F4" s="82">
        <v>42</v>
      </c>
      <c r="G4" s="83">
        <v>2</v>
      </c>
      <c r="H4" s="84">
        <v>1</v>
      </c>
      <c r="I4" s="156">
        <f t="shared" si="0"/>
        <v>100</v>
      </c>
      <c r="J4" s="216"/>
      <c r="K4" s="322" t="s">
        <v>39</v>
      </c>
      <c r="L4" s="323">
        <v>43</v>
      </c>
      <c r="M4" s="324">
        <f t="shared" ref="M4:M15" si="1">IF(OR(L4=0, L4=""), NA(), L4/$B$7)</f>
        <v>6.2228654124457307E-2</v>
      </c>
      <c r="N4" s="321"/>
      <c r="O4" s="325" t="s">
        <v>72</v>
      </c>
      <c r="P4" s="326">
        <f t="shared" ref="P4:P13" si="2">IF(L4&lt;&gt;0,L4-L3,NA())</f>
        <v>43</v>
      </c>
    </row>
    <row r="5" spans="1:17" ht="20.149999999999999" customHeight="1" x14ac:dyDescent="0.35">
      <c r="A5" s="303" t="s">
        <v>91</v>
      </c>
      <c r="B5" s="219">
        <v>11</v>
      </c>
      <c r="D5" s="171" cm="1">
        <f t="array" ref="D5">IF(ROW(3:3)&lt;=$E$24, (ROW(3:3)), "")</f>
        <v>3</v>
      </c>
      <c r="E5" s="82">
        <v>45</v>
      </c>
      <c r="F5" s="82">
        <v>47</v>
      </c>
      <c r="G5" s="90">
        <v>3</v>
      </c>
      <c r="H5" s="299">
        <v>5</v>
      </c>
      <c r="I5" s="156">
        <f t="shared" si="0"/>
        <v>100</v>
      </c>
      <c r="J5" s="217"/>
      <c r="K5" s="322" t="s">
        <v>40</v>
      </c>
      <c r="L5" s="323">
        <v>93</v>
      </c>
      <c r="M5" s="324">
        <f t="shared" si="1"/>
        <v>0.1345875542691751</v>
      </c>
      <c r="N5" s="321"/>
      <c r="O5" s="327" t="s">
        <v>73</v>
      </c>
      <c r="P5" s="328">
        <f t="shared" si="2"/>
        <v>50</v>
      </c>
    </row>
    <row r="6" spans="1:17" ht="20.149999999999999" customHeight="1" x14ac:dyDescent="0.35">
      <c r="A6" s="304" t="s">
        <v>2</v>
      </c>
      <c r="B6" s="220" t="str">
        <f>INDEX(Synthèse!B:B,B5+2)</f>
        <v>CMM</v>
      </c>
      <c r="D6" s="171" cm="1">
        <f t="array" ref="D6">IF(ROW(4:4)&lt;=$E$24, (ROW(4:4)), "")</f>
        <v>4</v>
      </c>
      <c r="E6" s="82">
        <v>54</v>
      </c>
      <c r="F6" s="82">
        <v>39</v>
      </c>
      <c r="G6" s="90">
        <v>2</v>
      </c>
      <c r="H6" s="299">
        <v>5</v>
      </c>
      <c r="I6" s="156">
        <f t="shared" si="0"/>
        <v>100</v>
      </c>
      <c r="J6" s="217"/>
      <c r="K6" s="322" t="s">
        <v>41</v>
      </c>
      <c r="L6" s="323">
        <v>156</v>
      </c>
      <c r="M6" s="324">
        <f t="shared" si="1"/>
        <v>0.22575976845151954</v>
      </c>
      <c r="N6" s="321"/>
      <c r="O6" s="327" t="s">
        <v>74</v>
      </c>
      <c r="P6" s="328">
        <f t="shared" si="2"/>
        <v>63</v>
      </c>
    </row>
    <row r="7" spans="1:17" ht="20.149999999999999" customHeight="1" x14ac:dyDescent="0.35">
      <c r="A7" s="304" t="s">
        <v>3</v>
      </c>
      <c r="B7" s="99">
        <f>INDEX(Synthèse!C:C,B5+2)</f>
        <v>691</v>
      </c>
      <c r="D7" s="171" cm="1">
        <f t="array" ref="D7">IF(ROW(5:5)&lt;=$E$24, (ROW(5:5)), "")</f>
        <v>5</v>
      </c>
      <c r="E7" s="82">
        <v>3</v>
      </c>
      <c r="F7" s="82">
        <v>2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5</v>
      </c>
      <c r="J7" s="217"/>
      <c r="K7" s="322" t="s">
        <v>42</v>
      </c>
      <c r="L7" s="323">
        <v>226</v>
      </c>
      <c r="M7" s="324">
        <f t="shared" si="1"/>
        <v>0.32706222865412443</v>
      </c>
      <c r="N7" s="321"/>
      <c r="O7" s="327" t="s">
        <v>75</v>
      </c>
      <c r="P7" s="328">
        <f t="shared" si="2"/>
        <v>70</v>
      </c>
    </row>
    <row r="8" spans="1:17" ht="20.149999999999999" customHeight="1" x14ac:dyDescent="0.35">
      <c r="A8" s="304" t="s">
        <v>5</v>
      </c>
      <c r="B8" s="85">
        <f>MAX(L4:L15)</f>
        <v>405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260</v>
      </c>
      <c r="M8" s="324">
        <f t="shared" si="1"/>
        <v>0.37626628075253254</v>
      </c>
      <c r="N8" s="321"/>
      <c r="O8" s="327" t="s">
        <v>76</v>
      </c>
      <c r="P8" s="328">
        <f t="shared" si="2"/>
        <v>34</v>
      </c>
    </row>
    <row r="9" spans="1:17" ht="20.149999999999999" customHeight="1" x14ac:dyDescent="0.35">
      <c r="A9" s="304" t="s">
        <v>4</v>
      </c>
      <c r="B9" s="86">
        <v>405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298</v>
      </c>
      <c r="M9" s="324">
        <f t="shared" si="1"/>
        <v>0.43125904486251809</v>
      </c>
      <c r="N9" s="321"/>
      <c r="O9" s="327" t="s">
        <v>77</v>
      </c>
      <c r="P9" s="328">
        <f t="shared" si="2"/>
        <v>38</v>
      </c>
    </row>
    <row r="10" spans="1:17" ht="20.149999999999999" customHeight="1" thickBot="1" x14ac:dyDescent="0.4">
      <c r="A10" s="305" t="s">
        <v>6</v>
      </c>
      <c r="B10" s="87">
        <f>B7-B8</f>
        <v>286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332</v>
      </c>
      <c r="M10" s="324">
        <f t="shared" si="1"/>
        <v>0.48046309696092621</v>
      </c>
      <c r="N10" s="321"/>
      <c r="O10" s="327" t="s">
        <v>78</v>
      </c>
      <c r="P10" s="328">
        <f t="shared" si="2"/>
        <v>34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363</v>
      </c>
      <c r="M11" s="324">
        <f t="shared" si="1"/>
        <v>0.52532561505065123</v>
      </c>
      <c r="N11" s="321"/>
      <c r="O11" s="327" t="s">
        <v>79</v>
      </c>
      <c r="P11" s="328">
        <f t="shared" si="2"/>
        <v>31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387</v>
      </c>
      <c r="M12" s="324">
        <f t="shared" si="1"/>
        <v>0.56005788712011573</v>
      </c>
      <c r="N12" s="321"/>
      <c r="O12" s="327" t="s">
        <v>80</v>
      </c>
      <c r="P12" s="328">
        <f t="shared" si="2"/>
        <v>24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210</v>
      </c>
      <c r="F13" s="312">
        <f>SUM(F3:F12)</f>
        <v>174</v>
      </c>
      <c r="G13" s="313">
        <f>SUM(G3:G12)</f>
        <v>8</v>
      </c>
      <c r="H13" s="314">
        <f>SUM(H3:H12)</f>
        <v>13</v>
      </c>
      <c r="I13" s="308">
        <f t="shared" si="0"/>
        <v>405</v>
      </c>
      <c r="J13" s="217"/>
      <c r="K13" s="322" t="s">
        <v>48</v>
      </c>
      <c r="L13" s="323">
        <v>405</v>
      </c>
      <c r="M13" s="324">
        <f t="shared" si="1"/>
        <v>0.58610709117221416</v>
      </c>
      <c r="N13" s="321"/>
      <c r="O13" s="329" t="s">
        <v>81</v>
      </c>
      <c r="P13" s="330">
        <f t="shared" si="2"/>
        <v>18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0.51851851851851849</v>
      </c>
      <c r="F14" s="316">
        <f>IFERROR(F13/$B$8,0)</f>
        <v>0.42962962962962964</v>
      </c>
      <c r="G14" s="315">
        <f>IFERROR(G13/$B$8,0)</f>
        <v>1.9753086419753086E-2</v>
      </c>
      <c r="H14" s="317">
        <f>IFERROR(H13/$B$8,0)</f>
        <v>3.2098765432098768E-2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7</v>
      </c>
      <c r="E24" s="192">
        <f>CEILING($B$8,100)/100</f>
        <v>5</v>
      </c>
      <c r="F24" s="192"/>
      <c r="J24" s="216"/>
    </row>
    <row r="25" spans="1:10" ht="13" x14ac:dyDescent="0.25">
      <c r="D25" s="192">
        <f>MOD($B$8,100)</f>
        <v>5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3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4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4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4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4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4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4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4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4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4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4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5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6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63G2SGMROXFdWJZZicyjVy3UHKHzmyWiRHY9G5tSi0bCI89gXofoWhAaDB+cPOvl4y0ibNi9j3JzQcp9wSyTpg==" saltValue="Zp7ORTKKEhqhRd6eg8FnzQ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81" priority="1" operator="equal">
      <formula>0</formula>
    </cfRule>
    <cfRule type="cellIs" dxfId="80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79" priority="18">
      <formula>($D3&gt;$E$24)</formula>
    </cfRule>
  </conditionalFormatting>
  <conditionalFormatting sqref="E3:H12">
    <cfRule type="expression" dxfId="78" priority="17">
      <formula>($D3&lt;=$E$24)</formula>
    </cfRule>
  </conditionalFormatting>
  <conditionalFormatting sqref="E50:H59 E68:H72 E78:H80">
    <cfRule type="expression" dxfId="77" priority="26">
      <formula>($D50&lt;=$E$24)</formula>
    </cfRule>
    <cfRule type="expression" dxfId="76" priority="27">
      <formula>($D50&gt;$E$24)</formula>
    </cfRule>
  </conditionalFormatting>
  <conditionalFormatting sqref="E50:H59">
    <cfRule type="expression" dxfId="75" priority="3">
      <formula>AND(E50&lt;MAX(E$50:E50), NOT(ISBLANK(E50)), NOT(E50=0))</formula>
    </cfRule>
  </conditionalFormatting>
  <conditionalFormatting sqref="E68:H72">
    <cfRule type="expression" dxfId="74" priority="2">
      <formula>AND(E68&lt;MAX(E$68:E68), NOT(ISBLANK(E68)), NOT(E68=0))</formula>
    </cfRule>
  </conditionalFormatting>
  <conditionalFormatting sqref="E78:H80 E50:H59 E68:H72">
    <cfRule type="cellIs" dxfId="73" priority="25" operator="notBetween">
      <formula>0</formula>
      <formula>$B$8</formula>
    </cfRule>
  </conditionalFormatting>
  <conditionalFormatting sqref="E78:H80">
    <cfRule type="expression" dxfId="72" priority="13">
      <formula>AND(E78&lt;MAX(E$78:E78), NOT(ISBLANK(E78)), NOT(E78=0))</formula>
    </cfRule>
  </conditionalFormatting>
  <conditionalFormatting sqref="E3:I12">
    <cfRule type="cellIs" dxfId="71" priority="5" operator="notBetween">
      <formula>0</formula>
      <formula>100</formula>
    </cfRule>
  </conditionalFormatting>
  <conditionalFormatting sqref="E3:I14">
    <cfRule type="cellIs" dxfId="70" priority="8" operator="lessThan">
      <formula>0</formula>
    </cfRule>
  </conditionalFormatting>
  <conditionalFormatting sqref="E14:I14">
    <cfRule type="cellIs" dxfId="69" priority="11" operator="greaterThan">
      <formula>1</formula>
    </cfRule>
  </conditionalFormatting>
  <conditionalFormatting sqref="I3:I12">
    <cfRule type="expression" dxfId="68" priority="14">
      <formula>AND($D3=$E$24, I3=$D$25)</formula>
    </cfRule>
    <cfRule type="expression" dxfId="67" priority="15">
      <formula>AND($D3=$E$24, MOD(I3,100)&gt;$D$25)</formula>
    </cfRule>
    <cfRule type="cellIs" dxfId="66" priority="16" operator="equal">
      <formula>100</formula>
    </cfRule>
  </conditionalFormatting>
  <conditionalFormatting sqref="I3:I13">
    <cfRule type="cellIs" dxfId="65" priority="9" operator="equal">
      <formula>0</formula>
    </cfRule>
  </conditionalFormatting>
  <conditionalFormatting sqref="I13">
    <cfRule type="cellIs" dxfId="64" priority="24" operator="equal">
      <formula>$B$8</formula>
    </cfRule>
  </conditionalFormatting>
  <conditionalFormatting sqref="I14">
    <cfRule type="cellIs" dxfId="63" priority="10" operator="equal">
      <formula>1</formula>
    </cfRule>
    <cfRule type="cellIs" dxfId="62" priority="12" operator="lessThan">
      <formula>1</formula>
    </cfRule>
  </conditionalFormatting>
  <conditionalFormatting sqref="I50 I52:I59 I68:I72 I78:I80">
    <cfRule type="cellIs" dxfId="61" priority="21" operator="lessThan">
      <formula>0</formula>
    </cfRule>
    <cfRule type="cellIs" dxfId="60" priority="22" operator="equal">
      <formula>0</formula>
    </cfRule>
    <cfRule type="expression" dxfId="59" priority="23">
      <formula>OR(MOD($I50,100)=0,AND($D50=$E$24,MOD($I50,100)=$D$25))</formula>
    </cfRule>
  </conditionalFormatting>
  <conditionalFormatting sqref="I51">
    <cfRule type="cellIs" dxfId="58" priority="28" operator="notBetween">
      <formula>0</formula>
      <formula>$B$8</formula>
    </cfRule>
    <cfRule type="cellIs" dxfId="57" priority="29" operator="equal">
      <formula>0</formula>
    </cfRule>
    <cfRule type="expression" dxfId="56" priority="30">
      <formula>OR(MOD($I51,100)=0,AND($D51=$E$24,MOD($I51,100)=$D$25))</formula>
    </cfRule>
  </conditionalFormatting>
  <conditionalFormatting sqref="L4:L15">
    <cfRule type="expression" dxfId="55" priority="31">
      <formula>AND($L4&lt;$L3, NOT(ISBLANK($L4)))</formula>
    </cfRule>
    <cfRule type="cellIs" dxfId="54" priority="32" operator="greaterThan">
      <formula>$B$7</formula>
    </cfRule>
  </conditionalFormatting>
  <conditionalFormatting sqref="M4:M15">
    <cfRule type="cellIs" dxfId="53" priority="7" operator="greaterThan">
      <formula>1</formula>
    </cfRule>
  </conditionalFormatting>
  <dataValidations count="2">
    <dataValidation type="list" allowBlank="1" showInputMessage="1" showErrorMessage="1" sqref="C50:C59" xr:uid="{7CBD793C-4A08-40AE-9849-C4387EB505ED}">
      <formula1>$D$19:$D$21</formula1>
    </dataValidation>
    <dataValidation type="list" allowBlank="1" showInputMessage="1" showErrorMessage="1" sqref="D68:D72 D78:D82 D50:D59" xr:uid="{20F4004A-98BF-4ACC-BC1C-DA06262DE839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A858-72C4-464F-BC81-43BED606ADC2}">
  <sheetPr codeName="Feuil54">
    <tabColor rgb="FFB4A7D6"/>
  </sheetPr>
  <dimension ref="A1:Q82"/>
  <sheetViews>
    <sheetView workbookViewId="0">
      <selection activeCell="B10" sqref="B10"/>
    </sheetView>
  </sheetViews>
  <sheetFormatPr baseColWidth="10" defaultColWidth="11.453125" defaultRowHeight="12.5" x14ac:dyDescent="0.25"/>
  <cols>
    <col min="1" max="1" width="14.54296875" customWidth="1"/>
    <col min="2" max="2" width="29.54296875" customWidth="1"/>
    <col min="3" max="3" width="3.1796875" customWidth="1"/>
    <col min="4" max="4" width="13.7265625" customWidth="1"/>
    <col min="5" max="6" width="24" customWidth="1"/>
    <col min="9" max="9" width="12.81640625" customWidth="1"/>
    <col min="10" max="10" width="10.453125" customWidth="1"/>
    <col min="11" max="11" width="15.453125" customWidth="1"/>
    <col min="12" max="12" width="16.1796875" customWidth="1"/>
    <col min="13" max="13" width="12" customWidth="1"/>
    <col min="15" max="15" width="14.81640625" customWidth="1"/>
    <col min="16" max="16" width="15.81640625" customWidth="1"/>
  </cols>
  <sheetData>
    <row r="1" spans="1:17" ht="16.5" customHeight="1" thickBot="1" x14ac:dyDescent="0.35">
      <c r="A1" s="301" t="str">
        <f>Synthèse!$A$17</f>
        <v>Date</v>
      </c>
      <c r="B1" s="433">
        <f>Synthèse!$B$17</f>
        <v>46103</v>
      </c>
      <c r="D1" s="155"/>
      <c r="E1" s="728" t="s">
        <v>84</v>
      </c>
      <c r="F1" s="729"/>
      <c r="G1" s="730"/>
      <c r="H1" s="731"/>
      <c r="I1" s="189" t="s">
        <v>0</v>
      </c>
      <c r="J1" s="216"/>
    </row>
    <row r="2" spans="1:17" ht="45" customHeight="1" thickBot="1" x14ac:dyDescent="0.4">
      <c r="A2" s="302" t="str">
        <f>Synthèse!$A$18</f>
        <v>Election</v>
      </c>
      <c r="B2" s="434" t="str">
        <f>Synthèse!$B$18</f>
        <v>Municipale</v>
      </c>
      <c r="D2" s="306" t="s">
        <v>85</v>
      </c>
      <c r="E2" s="420" t="str">
        <f>Synthèse!L2</f>
        <v>M. Pierre-Yves
TIERCE</v>
      </c>
      <c r="F2" s="390" t="str">
        <f>Synthèse!M2</f>
        <v>Mme Isabelle
FARNET RISSO</v>
      </c>
      <c r="G2" s="438" t="s">
        <v>7</v>
      </c>
      <c r="H2" s="439" t="s">
        <v>8</v>
      </c>
      <c r="I2" s="440" t="s">
        <v>86</v>
      </c>
      <c r="J2" s="216"/>
      <c r="K2" s="342" t="s">
        <v>58</v>
      </c>
      <c r="L2" s="343" t="s">
        <v>87</v>
      </c>
      <c r="M2" s="344" t="s">
        <v>88</v>
      </c>
      <c r="N2" s="321"/>
      <c r="O2" s="732" t="s">
        <v>89</v>
      </c>
      <c r="P2" s="732" t="s">
        <v>90</v>
      </c>
    </row>
    <row r="3" spans="1:17" ht="20.149999999999999" customHeight="1" thickBot="1" x14ac:dyDescent="0.4">
      <c r="A3" s="431" t="str">
        <f>Synthèse!$A$19</f>
        <v>Tour</v>
      </c>
      <c r="B3" s="435">
        <f>Synthèse!$B$19</f>
        <v>2</v>
      </c>
      <c r="D3" s="170" cm="1">
        <f t="array" ref="D3">IF(ROW(1:1)&lt;=$E$24, (ROW(1:1)), "")</f>
        <v>1</v>
      </c>
      <c r="E3" s="81">
        <v>53</v>
      </c>
      <c r="F3" s="81">
        <v>45</v>
      </c>
      <c r="G3" s="89">
        <v>1</v>
      </c>
      <c r="H3" s="300">
        <v>1</v>
      </c>
      <c r="I3" s="156">
        <f t="shared" ref="I3:I13" si="0">SUM(E3:H3)</f>
        <v>100</v>
      </c>
      <c r="J3" s="216"/>
      <c r="K3" s="318" t="s">
        <v>71</v>
      </c>
      <c r="L3" s="319">
        <v>0</v>
      </c>
      <c r="M3" s="320">
        <f>L3/$B$7</f>
        <v>0</v>
      </c>
      <c r="N3" s="321"/>
      <c r="O3" s="733"/>
      <c r="P3" s="733"/>
    </row>
    <row r="4" spans="1:17" ht="20.149999999999999" customHeight="1" thickBot="1" x14ac:dyDescent="0.4">
      <c r="A4" s="432" t="str">
        <f>Synthèse!$A$20</f>
        <v>Ville</v>
      </c>
      <c r="B4" s="436" t="str">
        <f>Synthèse!$B$20</f>
        <v>Cogolin</v>
      </c>
      <c r="D4" s="171" cm="1">
        <f t="array" ref="D4">IF(ROW(2:2)&lt;=$E$24, (ROW(2:2)), "")</f>
        <v>2</v>
      </c>
      <c r="E4" s="82">
        <v>56</v>
      </c>
      <c r="F4" s="82">
        <v>41</v>
      </c>
      <c r="G4" s="83">
        <v>2</v>
      </c>
      <c r="H4" s="84">
        <v>1</v>
      </c>
      <c r="I4" s="156">
        <f t="shared" si="0"/>
        <v>100</v>
      </c>
      <c r="J4" s="216"/>
      <c r="K4" s="322" t="s">
        <v>39</v>
      </c>
      <c r="L4" s="323">
        <v>10</v>
      </c>
      <c r="M4" s="324">
        <f t="shared" ref="M4:M15" si="1">IF(OR(L4=0, L4=""), NA(), L4/$B$7)</f>
        <v>1.4684287812041116E-2</v>
      </c>
      <c r="N4" s="321"/>
      <c r="O4" s="325" t="s">
        <v>72</v>
      </c>
      <c r="P4" s="326">
        <f t="shared" ref="P4:P13" si="2">IF(L4&lt;&gt;0,L4-L3,NA())</f>
        <v>10</v>
      </c>
    </row>
    <row r="5" spans="1:17" ht="20.149999999999999" customHeight="1" x14ac:dyDescent="0.35">
      <c r="A5" s="303" t="s">
        <v>91</v>
      </c>
      <c r="B5" s="219">
        <v>12</v>
      </c>
      <c r="D5" s="171" cm="1">
        <f t="array" ref="D5">IF(ROW(3:3)&lt;=$E$24, (ROW(3:3)), "")</f>
        <v>3</v>
      </c>
      <c r="E5" s="82">
        <v>45</v>
      </c>
      <c r="F5" s="82">
        <v>48</v>
      </c>
      <c r="G5" s="90">
        <v>3</v>
      </c>
      <c r="H5" s="299">
        <v>4</v>
      </c>
      <c r="I5" s="156">
        <f t="shared" si="0"/>
        <v>100</v>
      </c>
      <c r="J5" s="217"/>
      <c r="K5" s="322" t="s">
        <v>40</v>
      </c>
      <c r="L5" s="323">
        <v>45</v>
      </c>
      <c r="M5" s="324">
        <f t="shared" si="1"/>
        <v>6.6079295154185022E-2</v>
      </c>
      <c r="N5" s="321"/>
      <c r="O5" s="327" t="s">
        <v>73</v>
      </c>
      <c r="P5" s="328">
        <f t="shared" si="2"/>
        <v>35</v>
      </c>
    </row>
    <row r="6" spans="1:17" ht="20.149999999999999" customHeight="1" x14ac:dyDescent="0.35">
      <c r="A6" s="304" t="s">
        <v>2</v>
      </c>
      <c r="B6" s="220" t="str">
        <f>INDEX(Synthèse!B:B,B5+2)</f>
        <v>Base nautique</v>
      </c>
      <c r="D6" s="171" t="str" cm="1">
        <f t="array" ref="D6">IF(ROW(4:4)&lt;=$E$24, (ROW(4:4)), "")</f>
        <v/>
      </c>
      <c r="E6" s="82" cm="1">
        <f t="array" ref="E6">IF(ISNUMBER($D6),
 IFERROR(
  IF($D6 = MIN(INDEX(Table1,,1)),
     INDEX(Table1,MATCH($D6,INDEX(Table1,,1),0),COLUMN()-3),
     INDEX(Table1,MATCH($D6,INDEX(Table1,,1),0),COLUMN()-3)-INDEX(Table1,MATCH($D6,INDEX(Table1,,1),0)-1,COLUMN()-3)
  ),
  IFERROR(
   IF($D6 = MIN(INDEX(Table2,,1)),
      INDEX(Table2,MATCH($D6,INDEX(Table2,,1),0),COLUMN()-3),
      INDEX(Table2,MATCH($D6,INDEX(Table2,,1),0),COLUMN()-3)-INDEX(Table2,MATCH($D6,INDEX(Table2,,1),0)-1,COLUMN()-3)
   ),
   IFERROR(
    IF($D6 = MIN(INDEX(Table3,,1)),
       INDEX(Table3,MATCH($D6,INDEX(Table3,,1),0),COLUMN()-3),
       INDEX(Table3,MATCH($D6,INDEX(Table3,,1),0),COLUMN()-3)-INDEX(Table3,MATCH($D6,INDEX(Table3,,1),0)-1,COLUMN()-3)
    ),
    0
   )
  )
 ),
0)</f>
        <v>0</v>
      </c>
      <c r="F6" s="82" cm="1">
        <f t="array" ref="F6">IF(ISNUMBER($D6),
 IFERROR(
  IF($D6 = MIN(INDEX(Table1,,1)),
     INDEX(Table1,MATCH($D6,INDEX(Table1,,1),0),COLUMN()-3),
     INDEX(Table1,MATCH($D6,INDEX(Table1,,1),0),COLUMN()-3)-INDEX(Table1,MATCH($D6,INDEX(Table1,,1),0)-1,COLUMN()-3)
  ),
  IFERROR(
   IF($D6 = MIN(INDEX(Table2,,1)),
      INDEX(Table2,MATCH($D6,INDEX(Table2,,1),0),COLUMN()-3),
      INDEX(Table2,MATCH($D6,INDEX(Table2,,1),0),COLUMN()-3)-INDEX(Table2,MATCH($D6,INDEX(Table2,,1),0)-1,COLUMN()-3)
   ),
   IFERROR(
    IF($D6 = MIN(INDEX(Table3,,1)),
       INDEX(Table3,MATCH($D6,INDEX(Table3,,1),0),COLUMN()-3),
       INDEX(Table3,MATCH($D6,INDEX(Table3,,1),0),COLUMN()-3)-INDEX(Table3,MATCH($D6,INDEX(Table3,,1),0)-1,COLUMN()-3)
    ),
    0
   )
  )
 ),
0)</f>
        <v>0</v>
      </c>
      <c r="G6" s="90" cm="1">
        <f t="array" ref="G6">IF(ISNUMBER($D6),
 IFERROR(
  IF($D6 = MIN(INDEX(Table1,,1)),
     INDEX(Table1,MATCH($D6,INDEX(Table1,,1),0),COLUMN()-3),
     INDEX(Table1,MATCH($D6,INDEX(Table1,,1),0),COLUMN()-3)-INDEX(Table1,MATCH($D6,INDEX(Table1,,1),0)-1,COLUMN()-3)
  ),
  IFERROR(
   IF($D6 = MIN(INDEX(Table2,,1)),
      INDEX(Table2,MATCH($D6,INDEX(Table2,,1),0),COLUMN()-3),
      INDEX(Table2,MATCH($D6,INDEX(Table2,,1),0),COLUMN()-3)-INDEX(Table2,MATCH($D6,INDEX(Table2,,1),0)-1,COLUMN()-3)
   ),
   IFERROR(
    IF($D6 = MIN(INDEX(Table3,,1)),
       INDEX(Table3,MATCH($D6,INDEX(Table3,,1),0),COLUMN()-3),
       INDEX(Table3,MATCH($D6,INDEX(Table3,,1),0),COLUMN()-3)-INDEX(Table3,MATCH($D6,INDEX(Table3,,1),0)-1,COLUMN()-3)
    ),
    0
   )
  )
 ),
0)</f>
        <v>0</v>
      </c>
      <c r="H6" s="299" cm="1">
        <f t="array" ref="H6">IF(ISNUMBER($D6),
 IFERROR(
  IF($D6 = MIN(INDEX(Table1,,1)),
     INDEX(Table1,MATCH($D6,INDEX(Table1,,1),0),COLUMN()-3),
     INDEX(Table1,MATCH($D6,INDEX(Table1,,1),0),COLUMN()-3)-INDEX(Table1,MATCH($D6,INDEX(Table1,,1),0)-1,COLUMN()-3)
  ),
  IFERROR(
   IF($D6 = MIN(INDEX(Table2,,1)),
      INDEX(Table2,MATCH($D6,INDEX(Table2,,1),0),COLUMN()-3),
      INDEX(Table2,MATCH($D6,INDEX(Table2,,1),0),COLUMN()-3)-INDEX(Table2,MATCH($D6,INDEX(Table2,,1),0)-1,COLUMN()-3)
   ),
   IFERROR(
    IF($D6 = MIN(INDEX(Table3,,1)),
       INDEX(Table3,MATCH($D6,INDEX(Table3,,1),0),COLUMN()-3),
       INDEX(Table3,MATCH($D6,INDEX(Table3,,1),0),COLUMN()-3)-INDEX(Table3,MATCH($D6,INDEX(Table3,,1),0)-1,COLUMN()-3)
    ),
    0
   )
  )
 ),
0)</f>
        <v>0</v>
      </c>
      <c r="I6" s="156">
        <f t="shared" si="0"/>
        <v>0</v>
      </c>
      <c r="J6" s="217"/>
      <c r="K6" s="322" t="s">
        <v>41</v>
      </c>
      <c r="L6" s="323">
        <v>98</v>
      </c>
      <c r="M6" s="324">
        <f t="shared" si="1"/>
        <v>0.14390602055800295</v>
      </c>
      <c r="N6" s="321"/>
      <c r="O6" s="327" t="s">
        <v>74</v>
      </c>
      <c r="P6" s="328">
        <f t="shared" si="2"/>
        <v>53</v>
      </c>
    </row>
    <row r="7" spans="1:17" ht="20.149999999999999" customHeight="1" x14ac:dyDescent="0.35">
      <c r="A7" s="304" t="s">
        <v>3</v>
      </c>
      <c r="B7" s="99">
        <f>INDEX(Synthèse!C:C,B5+2)</f>
        <v>681</v>
      </c>
      <c r="D7" s="171" t="str" cm="1">
        <f t="array" ref="D7">IF(ROW(5:5)&lt;=$E$24, (ROW(5:5)), "")</f>
        <v/>
      </c>
      <c r="E7" s="82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82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83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84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156">
        <f t="shared" si="0"/>
        <v>0</v>
      </c>
      <c r="J7" s="217"/>
      <c r="K7" s="322" t="s">
        <v>42</v>
      </c>
      <c r="L7" s="323">
        <v>158</v>
      </c>
      <c r="M7" s="324">
        <f t="shared" si="1"/>
        <v>0.23201174743024963</v>
      </c>
      <c r="N7" s="321"/>
      <c r="O7" s="327" t="s">
        <v>75</v>
      </c>
      <c r="P7" s="328">
        <f t="shared" si="2"/>
        <v>60</v>
      </c>
    </row>
    <row r="8" spans="1:17" ht="20.149999999999999" customHeight="1" x14ac:dyDescent="0.35">
      <c r="A8" s="304" t="s">
        <v>5</v>
      </c>
      <c r="B8" s="85">
        <f>MAX(L4:L15)</f>
        <v>300</v>
      </c>
      <c r="D8" s="171" t="str" cm="1">
        <f t="array" ref="D8">IF(ROW(6:6)&lt;=$E$24, (ROW(6:6)), "")</f>
        <v/>
      </c>
      <c r="E8" s="82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82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83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84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156">
        <f t="shared" si="0"/>
        <v>0</v>
      </c>
      <c r="J8" s="217"/>
      <c r="K8" s="322" t="s">
        <v>43</v>
      </c>
      <c r="L8" s="323">
        <v>194</v>
      </c>
      <c r="M8" s="324">
        <f t="shared" si="1"/>
        <v>0.28487518355359764</v>
      </c>
      <c r="N8" s="321"/>
      <c r="O8" s="327" t="s">
        <v>76</v>
      </c>
      <c r="P8" s="328">
        <f t="shared" si="2"/>
        <v>36</v>
      </c>
    </row>
    <row r="9" spans="1:17" ht="20.149999999999999" customHeight="1" x14ac:dyDescent="0.35">
      <c r="A9" s="304" t="s">
        <v>4</v>
      </c>
      <c r="B9" s="86">
        <v>300</v>
      </c>
      <c r="D9" s="171" t="str" cm="1">
        <f t="array" ref="D9">IF(ROW(7:7)&lt;=$E$24, (ROW(7:7)), "")</f>
        <v/>
      </c>
      <c r="E9" s="82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82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83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84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156">
        <f t="shared" si="0"/>
        <v>0</v>
      </c>
      <c r="J9" s="217"/>
      <c r="K9" s="322" t="s">
        <v>44</v>
      </c>
      <c r="L9" s="323">
        <v>210</v>
      </c>
      <c r="M9" s="324">
        <f t="shared" si="1"/>
        <v>0.30837004405286345</v>
      </c>
      <c r="N9" s="321"/>
      <c r="O9" s="327" t="s">
        <v>77</v>
      </c>
      <c r="P9" s="328">
        <f t="shared" si="2"/>
        <v>16</v>
      </c>
    </row>
    <row r="10" spans="1:17" ht="20.149999999999999" customHeight="1" thickBot="1" x14ac:dyDescent="0.4">
      <c r="A10" s="305" t="s">
        <v>6</v>
      </c>
      <c r="B10" s="87">
        <f>B7-B8</f>
        <v>381</v>
      </c>
      <c r="D10" s="171" t="str" cm="1">
        <f t="array" ref="D10">IF(ROW(8:8)&lt;=$E$24, (ROW(8:8)), "")</f>
        <v/>
      </c>
      <c r="E10" s="82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82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83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84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156">
        <f t="shared" si="0"/>
        <v>0</v>
      </c>
      <c r="J10" s="217"/>
      <c r="K10" s="322" t="s">
        <v>45</v>
      </c>
      <c r="L10" s="323">
        <v>239</v>
      </c>
      <c r="M10" s="324">
        <f t="shared" si="1"/>
        <v>0.35095447870778268</v>
      </c>
      <c r="N10" s="321"/>
      <c r="O10" s="327" t="s">
        <v>78</v>
      </c>
      <c r="P10" s="328">
        <f t="shared" si="2"/>
        <v>29</v>
      </c>
    </row>
    <row r="11" spans="1:17" ht="20.149999999999999" customHeight="1" x14ac:dyDescent="0.35">
      <c r="A11" s="734" t="s">
        <v>92</v>
      </c>
      <c r="B11" s="734"/>
      <c r="D11" s="171" t="str" cm="1">
        <f t="array" ref="D11">IF(ROW(9:9)&lt;=$E$24, (ROW(9:9)), "")</f>
        <v/>
      </c>
      <c r="E11" s="82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82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83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84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156">
        <f t="shared" si="0"/>
        <v>0</v>
      </c>
      <c r="J11" s="217"/>
      <c r="K11" s="322" t="s">
        <v>46</v>
      </c>
      <c r="L11" s="323">
        <v>260</v>
      </c>
      <c r="M11" s="324">
        <f t="shared" si="1"/>
        <v>0.38179148311306904</v>
      </c>
      <c r="N11" s="321"/>
      <c r="O11" s="327" t="s">
        <v>79</v>
      </c>
      <c r="P11" s="328">
        <f t="shared" si="2"/>
        <v>21</v>
      </c>
    </row>
    <row r="12" spans="1:17" ht="20.149999999999999" customHeight="1" thickBot="1" x14ac:dyDescent="0.4">
      <c r="A12" s="735"/>
      <c r="B12" s="735"/>
      <c r="D12" s="172" t="str" cm="1">
        <f t="array" ref="D12">IF(ROW(10:10)&lt;=$E$24, (ROW(10:10)), "")</f>
        <v/>
      </c>
      <c r="E12" s="82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82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91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92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156">
        <f t="shared" si="0"/>
        <v>0</v>
      </c>
      <c r="J12" s="217"/>
      <c r="K12" s="322" t="s">
        <v>47</v>
      </c>
      <c r="L12" s="323">
        <v>287</v>
      </c>
      <c r="M12" s="324">
        <f t="shared" si="1"/>
        <v>0.42143906020558003</v>
      </c>
      <c r="N12" s="321"/>
      <c r="O12" s="327" t="s">
        <v>80</v>
      </c>
      <c r="P12" s="328">
        <f t="shared" si="2"/>
        <v>27</v>
      </c>
    </row>
    <row r="13" spans="1:17" ht="25" customHeight="1" thickBot="1" x14ac:dyDescent="0.55000000000000004">
      <c r="A13" s="736" t="s">
        <v>93</v>
      </c>
      <c r="B13" s="736"/>
      <c r="D13" s="307" t="s">
        <v>20</v>
      </c>
      <c r="E13" s="311">
        <f>SUM(E3:E12)</f>
        <v>154</v>
      </c>
      <c r="F13" s="312">
        <f>SUM(F3:F12)</f>
        <v>134</v>
      </c>
      <c r="G13" s="313">
        <f>SUM(G3:G12)</f>
        <v>6</v>
      </c>
      <c r="H13" s="314">
        <f>SUM(H3:H12)</f>
        <v>6</v>
      </c>
      <c r="I13" s="308">
        <f t="shared" si="0"/>
        <v>300</v>
      </c>
      <c r="J13" s="217"/>
      <c r="K13" s="322" t="s">
        <v>48</v>
      </c>
      <c r="L13" s="323">
        <v>300</v>
      </c>
      <c r="M13" s="324">
        <f t="shared" si="1"/>
        <v>0.44052863436123346</v>
      </c>
      <c r="N13" s="321"/>
      <c r="O13" s="329" t="s">
        <v>81</v>
      </c>
      <c r="P13" s="330">
        <f t="shared" si="2"/>
        <v>13</v>
      </c>
    </row>
    <row r="14" spans="1:17" ht="26.5" customHeight="1" thickBot="1" x14ac:dyDescent="0.55000000000000004">
      <c r="A14" s="736"/>
      <c r="B14" s="736"/>
      <c r="D14" s="309" t="s">
        <v>21</v>
      </c>
      <c r="E14" s="315">
        <f>IFERROR(E13/$B$8,0)</f>
        <v>0.51333333333333331</v>
      </c>
      <c r="F14" s="316">
        <f>IFERROR(F13/$B$8,0)</f>
        <v>0.44666666666666666</v>
      </c>
      <c r="G14" s="315">
        <f>IFERROR(G13/$B$8,0)</f>
        <v>0.02</v>
      </c>
      <c r="H14" s="317">
        <f>IFERROR(H13/$B$8,0)</f>
        <v>0.02</v>
      </c>
      <c r="I14" s="310">
        <f>IFERROR(I13/$B$8,0)</f>
        <v>1</v>
      </c>
      <c r="J14" s="216"/>
      <c r="K14" s="331" t="s">
        <v>49</v>
      </c>
      <c r="L14" s="332"/>
      <c r="M14" s="333" t="e">
        <f t="shared" si="1"/>
        <v>#N/A</v>
      </c>
      <c r="N14" s="334"/>
      <c r="O14" s="335" t="s">
        <v>82</v>
      </c>
      <c r="P14" s="336" t="e">
        <f>IF(L14&lt;&gt;0,L14-L13,NA())</f>
        <v>#N/A</v>
      </c>
      <c r="Q14" s="179"/>
    </row>
    <row r="15" spans="1:17" ht="24.75" customHeight="1" thickBot="1" x14ac:dyDescent="0.4">
      <c r="A15" s="736"/>
      <c r="B15" s="736"/>
      <c r="C15" s="1"/>
      <c r="D15" s="1"/>
      <c r="I15" s="160"/>
      <c r="J15" s="216"/>
      <c r="K15" s="337" t="s">
        <v>50</v>
      </c>
      <c r="L15" s="338"/>
      <c r="M15" s="339" t="e">
        <f t="shared" si="1"/>
        <v>#N/A</v>
      </c>
      <c r="N15" s="321"/>
      <c r="O15" s="340" t="s">
        <v>83</v>
      </c>
      <c r="P15" s="341" t="e">
        <f>IF(L15&lt;&gt;0,L15-L14,NA())</f>
        <v>#N/A</v>
      </c>
      <c r="Q15" s="179"/>
    </row>
    <row r="16" spans="1:17" ht="12.75" customHeight="1" x14ac:dyDescent="0.25">
      <c r="A16" s="737" t="s">
        <v>94</v>
      </c>
      <c r="B16" s="737"/>
      <c r="J16" s="216"/>
      <c r="K16" s="160"/>
      <c r="L16" s="160"/>
      <c r="M16" s="160"/>
      <c r="P16" s="160"/>
    </row>
    <row r="17" spans="1:10" ht="18" customHeight="1" x14ac:dyDescent="0.35">
      <c r="A17" s="737"/>
      <c r="B17" s="737"/>
      <c r="E17" s="136"/>
      <c r="F17" s="136"/>
      <c r="J17" s="216"/>
    </row>
    <row r="18" spans="1:10" ht="26.25" customHeight="1" x14ac:dyDescent="0.25">
      <c r="A18" s="737"/>
      <c r="B18" s="737"/>
      <c r="D18" s="210" t="s">
        <v>95</v>
      </c>
      <c r="J18" s="216"/>
    </row>
    <row r="19" spans="1:10" ht="18.75" customHeight="1" x14ac:dyDescent="0.25">
      <c r="A19" s="737"/>
      <c r="B19" s="737"/>
      <c r="D19" s="211">
        <f>IF((ROW()-23)&lt;=$E$25,(ROW()-23),"Choisir")</f>
        <v>-4</v>
      </c>
      <c r="J19" s="216"/>
    </row>
    <row r="20" spans="1:10" x14ac:dyDescent="0.25">
      <c r="D20" s="211">
        <f>IF((ROW()-23)&lt;=$E$25,(ROW()-23),"Choisir")</f>
        <v>-3</v>
      </c>
      <c r="J20" s="216"/>
    </row>
    <row r="21" spans="1:10" x14ac:dyDescent="0.25">
      <c r="D21" s="211">
        <f>IF((ROW()-23)&lt;=$E$25,(ROW()-23),"Choisir")</f>
        <v>-2</v>
      </c>
      <c r="J21" s="216"/>
    </row>
    <row r="22" spans="1:10" x14ac:dyDescent="0.25">
      <c r="D22" s="211">
        <f>IF((ROW()-23)&lt;=$E$25,(ROW()-23),"Choisir")</f>
        <v>-1</v>
      </c>
      <c r="J22" s="216"/>
    </row>
    <row r="23" spans="1:10" x14ac:dyDescent="0.25">
      <c r="J23" s="216"/>
    </row>
    <row r="24" spans="1:10" ht="13" x14ac:dyDescent="0.25">
      <c r="D24" s="192">
        <f>CEILING($B$7, 100)/100</f>
        <v>7</v>
      </c>
      <c r="E24" s="192">
        <f>CEILING($B$8,100)/100</f>
        <v>3</v>
      </c>
      <c r="F24" s="192"/>
      <c r="J24" s="216"/>
    </row>
    <row r="25" spans="1:10" ht="13" x14ac:dyDescent="0.25">
      <c r="D25" s="192">
        <f>MOD($B$8,100)</f>
        <v>0</v>
      </c>
      <c r="E25" s="148">
        <f>CEILING($B$7/300,1)</f>
        <v>3</v>
      </c>
      <c r="F25" s="148"/>
      <c r="J25" s="216"/>
    </row>
    <row r="26" spans="1:10" x14ac:dyDescent="0.25">
      <c r="J26" s="216"/>
    </row>
    <row r="27" spans="1:10" x14ac:dyDescent="0.25">
      <c r="J27" s="216"/>
    </row>
    <row r="28" spans="1:10" x14ac:dyDescent="0.25">
      <c r="J28" s="216"/>
    </row>
    <row r="29" spans="1:10" x14ac:dyDescent="0.25">
      <c r="J29" s="216"/>
    </row>
    <row r="30" spans="1:10" x14ac:dyDescent="0.25">
      <c r="J30" s="216"/>
    </row>
    <row r="31" spans="1:10" x14ac:dyDescent="0.25">
      <c r="J31" s="216"/>
    </row>
    <row r="32" spans="1:10" x14ac:dyDescent="0.25">
      <c r="J32" s="216"/>
    </row>
    <row r="33" spans="1:10" x14ac:dyDescent="0.25">
      <c r="J33" s="216"/>
    </row>
    <row r="34" spans="1:10" x14ac:dyDescent="0.25">
      <c r="J34" s="216"/>
    </row>
    <row r="35" spans="1:10" x14ac:dyDescent="0.25">
      <c r="J35" s="216"/>
    </row>
    <row r="36" spans="1:10" x14ac:dyDescent="0.25">
      <c r="J36" s="216"/>
    </row>
    <row r="37" spans="1:10" x14ac:dyDescent="0.25">
      <c r="J37" s="216"/>
    </row>
    <row r="38" spans="1:10" x14ac:dyDescent="0.25">
      <c r="J38" s="216"/>
    </row>
    <row r="39" spans="1:10" x14ac:dyDescent="0.25">
      <c r="J39" s="216"/>
    </row>
    <row r="40" spans="1:10" x14ac:dyDescent="0.25">
      <c r="J40" s="216"/>
    </row>
    <row r="41" spans="1:10" x14ac:dyDescent="0.25">
      <c r="J41" s="216"/>
    </row>
    <row r="42" spans="1:10" x14ac:dyDescent="0.25">
      <c r="J42" s="216"/>
    </row>
    <row r="43" spans="1:10" ht="13" thickBot="1" x14ac:dyDescent="0.3">
      <c r="A43" s="215"/>
      <c r="B43" s="215"/>
      <c r="C43" s="215"/>
      <c r="D43" s="215"/>
      <c r="E43" s="215"/>
      <c r="F43" s="215"/>
      <c r="G43" s="215"/>
      <c r="H43" s="215"/>
      <c r="I43" s="215"/>
      <c r="J43" s="218"/>
    </row>
    <row r="44" spans="1:10" ht="13" thickTop="1" x14ac:dyDescent="0.25">
      <c r="J44" s="216"/>
    </row>
    <row r="45" spans="1:10" x14ac:dyDescent="0.25">
      <c r="J45" s="216"/>
    </row>
    <row r="46" spans="1:10" x14ac:dyDescent="0.25">
      <c r="E46" s="88"/>
      <c r="F46" s="88"/>
      <c r="J46" s="216"/>
    </row>
    <row r="47" spans="1:10" ht="13" thickBot="1" x14ac:dyDescent="0.3">
      <c r="E47" s="88"/>
      <c r="F47" s="88"/>
      <c r="J47" s="216"/>
    </row>
    <row r="48" spans="1:10" ht="20.149999999999999" customHeight="1" thickBot="1" x14ac:dyDescent="0.35">
      <c r="D48" s="139" t="s">
        <v>96</v>
      </c>
      <c r="E48" s="725" t="s">
        <v>97</v>
      </c>
      <c r="F48" s="726"/>
      <c r="G48" s="726"/>
      <c r="H48" s="727"/>
      <c r="I48" s="180" t="s">
        <v>0</v>
      </c>
      <c r="J48" s="216"/>
    </row>
    <row r="49" spans="3:10" ht="47.25" customHeight="1" thickBot="1" x14ac:dyDescent="0.3">
      <c r="C49" s="137"/>
      <c r="D49" s="174" t="s">
        <v>98</v>
      </c>
      <c r="E49" s="421" t="str">
        <f>E2</f>
        <v>M. Pierre-Yves
TIERCE</v>
      </c>
      <c r="F49" s="391" t="str">
        <f t="shared" ref="F49" si="3">F2</f>
        <v>Mme Isabelle
FARNET RISSO</v>
      </c>
      <c r="G49" s="190" t="s">
        <v>8</v>
      </c>
      <c r="H49" s="191" t="s">
        <v>7</v>
      </c>
      <c r="I49" s="182" t="s">
        <v>99</v>
      </c>
      <c r="J49" s="216"/>
    </row>
    <row r="50" spans="3:10" ht="19.5" customHeight="1" x14ac:dyDescent="0.25">
      <c r="C50" s="138"/>
      <c r="D50" s="173" t="s">
        <v>100</v>
      </c>
      <c r="E50" s="157"/>
      <c r="F50" s="157"/>
      <c r="G50" s="159"/>
      <c r="H50" s="158"/>
      <c r="I50" s="181">
        <f t="shared" ref="I50:I59" si="4">SUM(E50:H50)</f>
        <v>0</v>
      </c>
      <c r="J50" s="216"/>
    </row>
    <row r="51" spans="3:10" ht="20.149999999999999" customHeight="1" x14ac:dyDescent="0.25">
      <c r="C51" s="138"/>
      <c r="D51" s="173" t="s">
        <v>100</v>
      </c>
      <c r="E51" s="157"/>
      <c r="F51" s="157"/>
      <c r="G51" s="159"/>
      <c r="H51" s="158"/>
      <c r="I51" s="181">
        <f t="shared" si="4"/>
        <v>0</v>
      </c>
      <c r="J51" s="216"/>
    </row>
    <row r="52" spans="3:10" ht="20.149999999999999" customHeight="1" x14ac:dyDescent="0.25">
      <c r="C52" s="138"/>
      <c r="D52" s="173" t="s">
        <v>100</v>
      </c>
      <c r="E52" s="157"/>
      <c r="F52" s="157"/>
      <c r="G52" s="159"/>
      <c r="H52" s="158"/>
      <c r="I52" s="181">
        <f t="shared" si="4"/>
        <v>0</v>
      </c>
      <c r="J52" s="216"/>
    </row>
    <row r="53" spans="3:10" ht="20.149999999999999" customHeight="1" x14ac:dyDescent="0.25">
      <c r="C53" s="138"/>
      <c r="D53" s="173" t="s">
        <v>100</v>
      </c>
      <c r="E53" s="157"/>
      <c r="F53" s="157"/>
      <c r="G53" s="159"/>
      <c r="H53" s="158"/>
      <c r="I53" s="181">
        <f t="shared" si="4"/>
        <v>0</v>
      </c>
      <c r="J53" s="216"/>
    </row>
    <row r="54" spans="3:10" ht="20.149999999999999" customHeight="1" x14ac:dyDescent="0.25">
      <c r="C54" s="138"/>
      <c r="D54" s="173" t="s">
        <v>100</v>
      </c>
      <c r="E54" s="157"/>
      <c r="F54" s="157"/>
      <c r="G54" s="159"/>
      <c r="H54" s="158"/>
      <c r="I54" s="181">
        <f t="shared" si="4"/>
        <v>0</v>
      </c>
      <c r="J54" s="216"/>
    </row>
    <row r="55" spans="3:10" ht="20.149999999999999" customHeight="1" x14ac:dyDescent="0.25">
      <c r="C55" s="138"/>
      <c r="D55" s="173" t="s">
        <v>100</v>
      </c>
      <c r="E55" s="157"/>
      <c r="F55" s="157"/>
      <c r="G55" s="159"/>
      <c r="H55" s="158"/>
      <c r="I55" s="181">
        <f t="shared" si="4"/>
        <v>0</v>
      </c>
      <c r="J55" s="216"/>
    </row>
    <row r="56" spans="3:10" ht="20.149999999999999" customHeight="1" x14ac:dyDescent="0.25">
      <c r="C56" s="138"/>
      <c r="D56" s="173" t="s">
        <v>100</v>
      </c>
      <c r="E56" s="157"/>
      <c r="F56" s="157"/>
      <c r="G56" s="159"/>
      <c r="H56" s="158"/>
      <c r="I56" s="181">
        <f t="shared" si="4"/>
        <v>0</v>
      </c>
      <c r="J56" s="216"/>
    </row>
    <row r="57" spans="3:10" ht="20.149999999999999" customHeight="1" x14ac:dyDescent="0.25">
      <c r="C57" s="138"/>
      <c r="D57" s="173" t="s">
        <v>100</v>
      </c>
      <c r="E57" s="157"/>
      <c r="F57" s="157"/>
      <c r="G57" s="159"/>
      <c r="H57" s="158"/>
      <c r="I57" s="181">
        <f t="shared" si="4"/>
        <v>0</v>
      </c>
      <c r="J57" s="216"/>
    </row>
    <row r="58" spans="3:10" ht="20.149999999999999" customHeight="1" x14ac:dyDescent="0.25">
      <c r="C58" s="138"/>
      <c r="D58" s="173" t="s">
        <v>100</v>
      </c>
      <c r="E58" s="157"/>
      <c r="F58" s="157"/>
      <c r="G58" s="159"/>
      <c r="H58" s="158"/>
      <c r="I58" s="181">
        <f t="shared" si="4"/>
        <v>0</v>
      </c>
      <c r="J58" s="216"/>
    </row>
    <row r="59" spans="3:10" ht="20.149999999999999" customHeight="1" thickBot="1" x14ac:dyDescent="0.3">
      <c r="C59" s="138"/>
      <c r="D59" s="175" t="s">
        <v>100</v>
      </c>
      <c r="E59" s="176"/>
      <c r="F59" s="176"/>
      <c r="G59" s="178"/>
      <c r="H59" s="177"/>
      <c r="I59" s="181">
        <f t="shared" si="4"/>
        <v>0</v>
      </c>
      <c r="J59" s="216"/>
    </row>
    <row r="60" spans="3:10" x14ac:dyDescent="0.25">
      <c r="I60" s="160"/>
      <c r="J60" s="216"/>
    </row>
    <row r="61" spans="3:10" x14ac:dyDescent="0.25">
      <c r="J61" s="216"/>
    </row>
    <row r="62" spans="3:10" x14ac:dyDescent="0.25">
      <c r="J62" s="216"/>
    </row>
    <row r="63" spans="3:10" ht="17.5" x14ac:dyDescent="0.35">
      <c r="E63" s="136"/>
      <c r="F63" s="136"/>
      <c r="J63" s="216"/>
    </row>
    <row r="64" spans="3:10" x14ac:dyDescent="0.25">
      <c r="J64" s="216"/>
    </row>
    <row r="65" spans="4:10" ht="13" thickBot="1" x14ac:dyDescent="0.3">
      <c r="J65" s="216"/>
    </row>
    <row r="66" spans="4:10" ht="16.5" customHeight="1" thickBot="1" x14ac:dyDescent="0.35">
      <c r="D66" s="139" t="s">
        <v>101</v>
      </c>
      <c r="E66" s="725" t="s">
        <v>102</v>
      </c>
      <c r="F66" s="726"/>
      <c r="G66" s="726"/>
      <c r="H66" s="727"/>
      <c r="I66" s="180" t="s">
        <v>0</v>
      </c>
      <c r="J66" s="216"/>
    </row>
    <row r="67" spans="4:10" ht="42" customHeight="1" thickBot="1" x14ac:dyDescent="0.3">
      <c r="D67" s="174" t="s">
        <v>98</v>
      </c>
      <c r="E67" s="421" t="str">
        <f>E2</f>
        <v>M. Pierre-Yves
TIERCE</v>
      </c>
      <c r="F67" s="391" t="str">
        <f t="shared" ref="F67" si="5">F2</f>
        <v>Mme Isabelle
FARNET RISSO</v>
      </c>
      <c r="G67" s="190" t="s">
        <v>8</v>
      </c>
      <c r="H67" s="191" t="s">
        <v>7</v>
      </c>
      <c r="I67" s="187" t="s">
        <v>99</v>
      </c>
      <c r="J67" s="216"/>
    </row>
    <row r="68" spans="4:10" ht="20.149999999999999" customHeight="1" x14ac:dyDescent="0.25">
      <c r="D68" s="147" t="s">
        <v>100</v>
      </c>
      <c r="E68" s="141"/>
      <c r="F68" s="141"/>
      <c r="G68" s="143"/>
      <c r="H68" s="142"/>
      <c r="I68" s="184">
        <f>SUM(E68:H68)</f>
        <v>0</v>
      </c>
      <c r="J68" s="216"/>
    </row>
    <row r="69" spans="4:10" ht="20.149999999999999" customHeight="1" x14ac:dyDescent="0.25">
      <c r="D69" s="145" t="s">
        <v>100</v>
      </c>
      <c r="E69" s="93"/>
      <c r="F69" s="93"/>
      <c r="G69" s="95"/>
      <c r="H69" s="94"/>
      <c r="I69" s="156">
        <f>SUM(E69:H69)</f>
        <v>0</v>
      </c>
      <c r="J69" s="216"/>
    </row>
    <row r="70" spans="4:10" ht="20.149999999999999" customHeight="1" x14ac:dyDescent="0.25">
      <c r="D70" s="145" t="s">
        <v>100</v>
      </c>
      <c r="E70" s="93"/>
      <c r="F70" s="93"/>
      <c r="G70" s="95"/>
      <c r="H70" s="94"/>
      <c r="I70" s="156">
        <f>SUM(E70:H70)</f>
        <v>0</v>
      </c>
      <c r="J70" s="216"/>
    </row>
    <row r="71" spans="4:10" ht="20.149999999999999" customHeight="1" x14ac:dyDescent="0.25">
      <c r="D71" s="145" t="s">
        <v>100</v>
      </c>
      <c r="E71" s="93"/>
      <c r="F71" s="93"/>
      <c r="G71" s="95"/>
      <c r="H71" s="94"/>
      <c r="I71" s="156">
        <f>SUM(E71:H71)</f>
        <v>0</v>
      </c>
      <c r="J71" s="216"/>
    </row>
    <row r="72" spans="4:10" ht="20.149999999999999" customHeight="1" thickBot="1" x14ac:dyDescent="0.3">
      <c r="D72" s="146" t="s">
        <v>100</v>
      </c>
      <c r="E72" s="96"/>
      <c r="F72" s="96"/>
      <c r="G72" s="98"/>
      <c r="H72" s="97"/>
      <c r="I72" s="185">
        <f>SUM(E72:H72)</f>
        <v>0</v>
      </c>
      <c r="J72" s="216"/>
    </row>
    <row r="73" spans="4:10" ht="20.149999999999999" customHeight="1" x14ac:dyDescent="0.25">
      <c r="D73" s="140"/>
      <c r="E73" s="138"/>
      <c r="F73" s="138"/>
      <c r="G73" s="138"/>
      <c r="H73" s="138"/>
      <c r="J73" s="216"/>
    </row>
    <row r="74" spans="4:10" ht="20.149999999999999" customHeight="1" x14ac:dyDescent="0.25">
      <c r="D74" s="140"/>
      <c r="E74" s="138"/>
      <c r="F74" s="138"/>
      <c r="G74" s="138"/>
      <c r="H74" s="138"/>
      <c r="J74" s="216"/>
    </row>
    <row r="75" spans="4:10" ht="20.149999999999999" customHeight="1" thickBot="1" x14ac:dyDescent="0.3">
      <c r="D75" s="140"/>
      <c r="E75" s="138"/>
      <c r="F75" s="138"/>
      <c r="G75" s="138"/>
      <c r="H75" s="138"/>
      <c r="J75" s="216"/>
    </row>
    <row r="76" spans="4:10" ht="20.149999999999999" customHeight="1" thickBot="1" x14ac:dyDescent="0.35">
      <c r="D76" s="139" t="s">
        <v>103</v>
      </c>
      <c r="E76" s="725" t="s">
        <v>104</v>
      </c>
      <c r="F76" s="726"/>
      <c r="G76" s="726"/>
      <c r="H76" s="727"/>
      <c r="I76" s="186" t="s">
        <v>0</v>
      </c>
      <c r="J76" s="216"/>
    </row>
    <row r="77" spans="4:10" ht="39.75" customHeight="1" thickBot="1" x14ac:dyDescent="0.3">
      <c r="D77" s="174" t="s">
        <v>98</v>
      </c>
      <c r="E77" s="421" t="str">
        <f>E2</f>
        <v>M. Pierre-Yves
TIERCE</v>
      </c>
      <c r="F77" s="391" t="str">
        <f t="shared" ref="F77" si="6">F2</f>
        <v>Mme Isabelle
FARNET RISSO</v>
      </c>
      <c r="G77" s="190" t="s">
        <v>8</v>
      </c>
      <c r="H77" s="191" t="s">
        <v>7</v>
      </c>
      <c r="I77" s="183" t="s">
        <v>99</v>
      </c>
      <c r="J77" s="216"/>
    </row>
    <row r="78" spans="4:10" ht="20.149999999999999" customHeight="1" x14ac:dyDescent="0.25">
      <c r="D78" s="147" t="s">
        <v>100</v>
      </c>
      <c r="E78" s="141"/>
      <c r="F78" s="141"/>
      <c r="G78" s="143"/>
      <c r="H78" s="142"/>
      <c r="I78" s="184">
        <f>SUM(E78:H78)</f>
        <v>0</v>
      </c>
      <c r="J78" s="216"/>
    </row>
    <row r="79" spans="4:10" ht="20.149999999999999" customHeight="1" x14ac:dyDescent="0.25">
      <c r="D79" s="145" t="s">
        <v>100</v>
      </c>
      <c r="E79" s="93"/>
      <c r="F79" s="93"/>
      <c r="G79" s="95"/>
      <c r="H79" s="94"/>
      <c r="I79" s="156">
        <f>SUM(E79:H79)</f>
        <v>0</v>
      </c>
      <c r="J79" s="216"/>
    </row>
    <row r="80" spans="4:10" ht="20.149999999999999" customHeight="1" thickBot="1" x14ac:dyDescent="0.3">
      <c r="D80" s="146" t="s">
        <v>100</v>
      </c>
      <c r="E80" s="96"/>
      <c r="F80" s="96"/>
      <c r="G80" s="98"/>
      <c r="H80" s="97"/>
      <c r="I80" s="185">
        <f>SUM(E80:H80)</f>
        <v>0</v>
      </c>
      <c r="J80" s="216"/>
    </row>
    <row r="81" spans="4:10" ht="20.149999999999999" customHeight="1" x14ac:dyDescent="0.25">
      <c r="D81" s="140"/>
      <c r="E81" s="138"/>
      <c r="F81" s="138"/>
      <c r="G81" s="138"/>
      <c r="H81" s="138"/>
      <c r="I81" s="144"/>
      <c r="J81" s="216"/>
    </row>
    <row r="82" spans="4:10" ht="20.149999999999999" customHeight="1" x14ac:dyDescent="0.25">
      <c r="D82" s="140"/>
      <c r="E82" s="138"/>
      <c r="F82" s="138"/>
      <c r="G82" s="138"/>
      <c r="H82" s="138"/>
      <c r="I82" s="144"/>
      <c r="J82" s="216"/>
    </row>
  </sheetData>
  <sheetProtection algorithmName="SHA-512" hashValue="sRiN/Cign/SGt8SCwGNEgSXEiPAKK/reHGYXFTqf3tQGo1vZHjtdlG5FPE0gVvfzvXhTunFGYkO9flyDPhUoJg==" saltValue="7AoNeGF86tu8h4nI+Old/Q==" spinCount="100000" sheet="1" objects="1" scenarios="1"/>
  <mergeCells count="9">
    <mergeCell ref="E76:H76"/>
    <mergeCell ref="E1:H1"/>
    <mergeCell ref="O2:O3"/>
    <mergeCell ref="P2:P3"/>
    <mergeCell ref="A11:B12"/>
    <mergeCell ref="A13:B15"/>
    <mergeCell ref="A16:B19"/>
    <mergeCell ref="E48:H48"/>
    <mergeCell ref="E66:H66"/>
  </mergeCells>
  <conditionalFormatting sqref="B9">
    <cfRule type="cellIs" dxfId="52" priority="1" operator="equal">
      <formula>0</formula>
    </cfRule>
    <cfRule type="cellIs" dxfId="51" priority="6" operator="notEqual">
      <formula>$B$8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H12">
    <cfRule type="expression" dxfId="50" priority="18">
      <formula>($D3&gt;$E$24)</formula>
    </cfRule>
  </conditionalFormatting>
  <conditionalFormatting sqref="E3:H12">
    <cfRule type="expression" dxfId="49" priority="17">
      <formula>($D3&lt;=$E$24)</formula>
    </cfRule>
  </conditionalFormatting>
  <conditionalFormatting sqref="E50:H59 E68:H72 E78:H80">
    <cfRule type="expression" dxfId="48" priority="26">
      <formula>($D50&lt;=$E$24)</formula>
    </cfRule>
    <cfRule type="expression" dxfId="47" priority="27">
      <formula>($D50&gt;$E$24)</formula>
    </cfRule>
  </conditionalFormatting>
  <conditionalFormatting sqref="E50:H59">
    <cfRule type="expression" dxfId="46" priority="3">
      <formula>AND(E50&lt;MAX(E$50:E50), NOT(ISBLANK(E50)), NOT(E50=0))</formula>
    </cfRule>
  </conditionalFormatting>
  <conditionalFormatting sqref="E68:H72">
    <cfRule type="expression" dxfId="45" priority="2">
      <formula>AND(E68&lt;MAX(E$68:E68), NOT(ISBLANK(E68)), NOT(E68=0))</formula>
    </cfRule>
  </conditionalFormatting>
  <conditionalFormatting sqref="E78:H80 E50:H59 E68:H72">
    <cfRule type="cellIs" dxfId="44" priority="25" operator="notBetween">
      <formula>0</formula>
      <formula>$B$8</formula>
    </cfRule>
  </conditionalFormatting>
  <conditionalFormatting sqref="E78:H80">
    <cfRule type="expression" dxfId="43" priority="13">
      <formula>AND(E78&lt;MAX(E$78:E78), NOT(ISBLANK(E78)), NOT(E78=0))</formula>
    </cfRule>
  </conditionalFormatting>
  <conditionalFormatting sqref="E3:I12">
    <cfRule type="cellIs" dxfId="42" priority="5" operator="notBetween">
      <formula>0</formula>
      <formula>100</formula>
    </cfRule>
  </conditionalFormatting>
  <conditionalFormatting sqref="E3:I14">
    <cfRule type="cellIs" dxfId="41" priority="8" operator="lessThan">
      <formula>0</formula>
    </cfRule>
  </conditionalFormatting>
  <conditionalFormatting sqref="E14:I14">
    <cfRule type="cellIs" dxfId="40" priority="11" operator="greaterThan">
      <formula>1</formula>
    </cfRule>
  </conditionalFormatting>
  <conditionalFormatting sqref="I3:I12">
    <cfRule type="expression" dxfId="39" priority="14">
      <formula>AND($D3=$E$24, I3=$D$25)</formula>
    </cfRule>
    <cfRule type="expression" dxfId="38" priority="15">
      <formula>AND($D3=$E$24, MOD(I3,100)&gt;$D$25)</formula>
    </cfRule>
    <cfRule type="cellIs" dxfId="37" priority="16" operator="equal">
      <formula>100</formula>
    </cfRule>
  </conditionalFormatting>
  <conditionalFormatting sqref="I3:I13">
    <cfRule type="cellIs" dxfId="36" priority="9" operator="equal">
      <formula>0</formula>
    </cfRule>
  </conditionalFormatting>
  <conditionalFormatting sqref="I13">
    <cfRule type="cellIs" dxfId="35" priority="24" operator="equal">
      <formula>$B$8</formula>
    </cfRule>
  </conditionalFormatting>
  <conditionalFormatting sqref="I14">
    <cfRule type="cellIs" dxfId="34" priority="10" operator="equal">
      <formula>1</formula>
    </cfRule>
    <cfRule type="cellIs" dxfId="33" priority="12" operator="lessThan">
      <formula>1</formula>
    </cfRule>
  </conditionalFormatting>
  <conditionalFormatting sqref="I50 I52:I59 I68:I72 I78:I80">
    <cfRule type="cellIs" dxfId="32" priority="21" operator="lessThan">
      <formula>0</formula>
    </cfRule>
    <cfRule type="cellIs" dxfId="31" priority="22" operator="equal">
      <formula>0</formula>
    </cfRule>
    <cfRule type="expression" dxfId="30" priority="23">
      <formula>OR(MOD($I50,100)=0,AND($D50=$E$24,MOD($I50,100)=$D$25))</formula>
    </cfRule>
  </conditionalFormatting>
  <conditionalFormatting sqref="I51">
    <cfRule type="cellIs" dxfId="29" priority="28" operator="notBetween">
      <formula>0</formula>
      <formula>$B$8</formula>
    </cfRule>
    <cfRule type="cellIs" dxfId="28" priority="29" operator="equal">
      <formula>0</formula>
    </cfRule>
    <cfRule type="expression" dxfId="27" priority="30">
      <formula>OR(MOD($I51,100)=0,AND($D51=$E$24,MOD($I51,100)=$D$25))</formula>
    </cfRule>
  </conditionalFormatting>
  <conditionalFormatting sqref="L4:L15">
    <cfRule type="expression" dxfId="26" priority="31">
      <formula>AND($L4&lt;$L3, NOT(ISBLANK($L4)))</formula>
    </cfRule>
    <cfRule type="cellIs" dxfId="25" priority="32" operator="greaterThan">
      <formula>$B$7</formula>
    </cfRule>
  </conditionalFormatting>
  <conditionalFormatting sqref="M4:M15">
    <cfRule type="cellIs" dxfId="24" priority="7" operator="greaterThan">
      <formula>1</formula>
    </cfRule>
  </conditionalFormatting>
  <dataValidations count="2">
    <dataValidation type="list" allowBlank="1" showInputMessage="1" showErrorMessage="1" sqref="C50:C59" xr:uid="{220BE0A0-C0F5-49AE-843D-EDEB0CA6674D}">
      <formula1>$D$19:$D$21</formula1>
    </dataValidation>
    <dataValidation type="list" allowBlank="1" showInputMessage="1" showErrorMessage="1" sqref="D68:D72 D78:D82 D50:D59" xr:uid="{3DF60E78-DB80-4709-BE1A-B3BC0163519E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F87B-92E3-4351-B77E-891CFFB443E4}">
  <sheetPr codeName="Feuil2">
    <tabColor theme="6" tint="0.79998168889431442"/>
    <pageSetUpPr fitToPage="1"/>
  </sheetPr>
  <dimension ref="A1:AD63"/>
  <sheetViews>
    <sheetView showGridLines="0" showRowColHeaders="0" tabSelected="1" topLeftCell="S1" zoomScale="50" zoomScaleNormal="50" workbookViewId="0">
      <selection activeCell="W26" sqref="W26:Y2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53125" defaultRowHeight="16" x14ac:dyDescent="0.45"/>
  <cols>
    <col min="1" max="1" width="7.54296875" style="378" customWidth="1"/>
    <col min="2" max="2" width="8.1796875" style="378" customWidth="1"/>
    <col min="3" max="3" width="31.26953125" style="378" customWidth="1"/>
    <col min="4" max="4" width="21" style="378" customWidth="1"/>
    <col min="5" max="5" width="26.1796875" style="378" customWidth="1"/>
    <col min="6" max="6" width="35.7265625" style="378" customWidth="1"/>
    <col min="7" max="7" width="37.26953125" style="378" customWidth="1"/>
    <col min="8" max="8" width="21.26953125" style="378" bestFit="1" customWidth="1"/>
    <col min="9" max="9" width="20.453125" style="378" customWidth="1"/>
    <col min="10" max="10" width="36.1796875" style="378" customWidth="1"/>
    <col min="11" max="11" width="8.26953125" style="378" customWidth="1"/>
    <col min="12" max="12" width="18.453125" style="378" customWidth="1"/>
    <col min="13" max="13" width="12.54296875" style="378" customWidth="1"/>
    <col min="14" max="14" width="12.81640625" style="378" customWidth="1"/>
    <col min="15" max="15" width="13.1796875" style="378" customWidth="1"/>
    <col min="16" max="16" width="11.453125" style="378"/>
    <col min="17" max="17" width="12.1796875" style="378" customWidth="1"/>
    <col min="18" max="18" width="13.54296875" style="378" customWidth="1"/>
    <col min="19" max="19" width="28.1796875" style="378" customWidth="1"/>
    <col min="20" max="20" width="15.1796875" style="378" customWidth="1"/>
    <col min="21" max="21" width="11.453125" style="378"/>
    <col min="22" max="22" width="37" style="378" customWidth="1"/>
    <col min="23" max="23" width="20.81640625" style="378" customWidth="1"/>
    <col min="24" max="24" width="16.7265625" style="378" customWidth="1"/>
    <col min="25" max="25" width="23.1796875" style="378" customWidth="1"/>
    <col min="26" max="26" width="37.54296875" style="378" customWidth="1"/>
    <col min="27" max="27" width="4" style="378" customWidth="1"/>
    <col min="28" max="28" width="4.81640625" style="378" customWidth="1"/>
    <col min="29" max="29" width="14.26953125" style="378" customWidth="1"/>
    <col min="30" max="30" width="34.26953125" style="378" customWidth="1"/>
    <col min="31" max="31" width="20.26953125" style="378" customWidth="1"/>
    <col min="32" max="32" width="11.453125" style="378" customWidth="1"/>
    <col min="33" max="16384" width="11.453125" style="378"/>
  </cols>
  <sheetData>
    <row r="1" spans="1:26" x14ac:dyDescent="0.45">
      <c r="A1" s="379"/>
    </row>
    <row r="2" spans="1:26" ht="25" thickBot="1" x14ac:dyDescent="0.7">
      <c r="A2" s="380"/>
      <c r="F2" s="426"/>
      <c r="G2" s="426"/>
      <c r="H2" s="381"/>
      <c r="I2" s="381"/>
      <c r="J2" s="381"/>
    </row>
    <row r="3" spans="1:26" ht="84" customHeight="1" thickBot="1" x14ac:dyDescent="0.95">
      <c r="A3" s="380"/>
      <c r="B3" s="760" t="s">
        <v>38</v>
      </c>
      <c r="C3" s="761"/>
      <c r="D3" s="571" t="s">
        <v>3</v>
      </c>
      <c r="E3" s="591" t="s">
        <v>5</v>
      </c>
      <c r="F3" s="569" t="str">
        <f>Synthèse!L$2</f>
        <v>M. Pierre-Yves
TIERCE</v>
      </c>
      <c r="G3" s="570" t="str">
        <f>Synthèse!M$2</f>
        <v>Mme Isabelle
FARNET RISSO</v>
      </c>
      <c r="H3" s="592" t="s">
        <v>7</v>
      </c>
      <c r="I3" s="593" t="s">
        <v>8</v>
      </c>
      <c r="J3" s="594" t="s">
        <v>105</v>
      </c>
      <c r="U3" s="782" t="s">
        <v>38</v>
      </c>
      <c r="V3" s="783"/>
      <c r="W3" s="572" t="s">
        <v>3</v>
      </c>
      <c r="X3" s="757" t="s">
        <v>5</v>
      </c>
      <c r="Y3" s="758"/>
      <c r="Z3" s="759"/>
    </row>
    <row r="4" spans="1:26" s="555" customFormat="1" ht="44.25" customHeight="1" x14ac:dyDescent="0.8">
      <c r="B4" s="668">
        <v>1</v>
      </c>
      <c r="C4" s="669" t="str" cm="1">
        <f t="array" aca="1" ref="C4" ca="1">INDIRECT("'Synthèse'!$B" &amp; ROW()-1)</f>
        <v>Ecole Chabaud</v>
      </c>
      <c r="D4" s="670">
        <f>Synthèse!C3</f>
        <v>554</v>
      </c>
      <c r="E4" s="677">
        <f ca="1">Synthèse!E3</f>
        <v>316</v>
      </c>
      <c r="F4" s="678">
        <f ca="1">Synthèse!L3</f>
        <v>148</v>
      </c>
      <c r="G4" s="679">
        <f ca="1">Synthèse!M3</f>
        <v>156</v>
      </c>
      <c r="H4" s="680">
        <f ca="1">Synthèse!G3</f>
        <v>8</v>
      </c>
      <c r="I4" s="681">
        <f ca="1">Synthèse!H3</f>
        <v>4</v>
      </c>
      <c r="J4" s="682" cm="1">
        <f t="array" aca="1" ref="J4" ca="1">SUM(IFERROR(F4:I4,0))</f>
        <v>316</v>
      </c>
      <c r="L4" s="573" t="str">
        <f>Synthèse!$A$17</f>
        <v>Date</v>
      </c>
      <c r="M4" s="775">
        <f>Synthèse!$B$17</f>
        <v>46103</v>
      </c>
      <c r="N4" s="776"/>
      <c r="O4" s="776"/>
      <c r="P4" s="776"/>
      <c r="Q4" s="777"/>
      <c r="U4" s="664">
        <v>1</v>
      </c>
      <c r="V4" s="665" t="str">
        <f>Synthèse!$B3</f>
        <v>Ecole Chabaud</v>
      </c>
      <c r="W4" s="661">
        <f>Synthèse!$C3</f>
        <v>554</v>
      </c>
      <c r="X4" s="691">
        <f ca="1">Synthèse!$E3</f>
        <v>316</v>
      </c>
      <c r="Y4" s="692">
        <f t="shared" ref="Y4:Z16" ca="1" si="0">$X4/$W4</f>
        <v>0.5703971119133574</v>
      </c>
      <c r="Z4" s="635">
        <f t="shared" ca="1" si="0"/>
        <v>0.5703971119133574</v>
      </c>
    </row>
    <row r="5" spans="1:26" s="555" customFormat="1" ht="44.25" customHeight="1" x14ac:dyDescent="0.8">
      <c r="B5" s="671">
        <v>2</v>
      </c>
      <c r="C5" s="672" t="str" cm="1">
        <f t="array" aca="1" ref="C5" ca="1">INDIRECT("'Synthèse'!$B" &amp; ROW()-1)</f>
        <v>Gymnase B</v>
      </c>
      <c r="D5" s="673">
        <f>Synthèse!C4</f>
        <v>740</v>
      </c>
      <c r="E5" s="683">
        <f ca="1">Synthèse!E4</f>
        <v>433</v>
      </c>
      <c r="F5" s="684">
        <f ca="1">Synthèse!L4</f>
        <v>197</v>
      </c>
      <c r="G5" s="685">
        <f ca="1">Synthèse!M4</f>
        <v>217</v>
      </c>
      <c r="H5" s="686">
        <f ca="1">Synthèse!G4</f>
        <v>10</v>
      </c>
      <c r="I5" s="687">
        <f ca="1">Synthèse!H4</f>
        <v>9</v>
      </c>
      <c r="J5" s="687" cm="1">
        <f t="array" aca="1" ref="J5" ca="1">SUM(IFERROR(F5:I5,0))</f>
        <v>433</v>
      </c>
      <c r="L5" s="574" t="str">
        <f>Synthèse!$A$18</f>
        <v>Election</v>
      </c>
      <c r="M5" s="741" t="str">
        <f>Synthèse!$B$18</f>
        <v>Municipale</v>
      </c>
      <c r="N5" s="778"/>
      <c r="O5" s="778"/>
      <c r="P5" s="778"/>
      <c r="Q5" s="742"/>
      <c r="U5" s="664">
        <v>2</v>
      </c>
      <c r="V5" s="665" t="str">
        <f>Synthèse!$B4</f>
        <v>Gymnase B</v>
      </c>
      <c r="W5" s="662">
        <f>Synthèse!$C4</f>
        <v>740</v>
      </c>
      <c r="X5" s="693">
        <f ca="1">Synthèse!$E4</f>
        <v>433</v>
      </c>
      <c r="Y5" s="694">
        <f t="shared" ca="1" si="0"/>
        <v>0.58513513513513515</v>
      </c>
      <c r="Z5" s="635">
        <f t="shared" ca="1" si="0"/>
        <v>0.58513513513513515</v>
      </c>
    </row>
    <row r="6" spans="1:26" s="555" customFormat="1" ht="44.25" customHeight="1" x14ac:dyDescent="0.8">
      <c r="B6" s="671">
        <v>3</v>
      </c>
      <c r="C6" s="672" t="str" cm="1">
        <f t="array" aca="1" ref="C6" ca="1">INDIRECT("'Synthèse'!$B" &amp; ROW()-1)</f>
        <v>Gymnase B</v>
      </c>
      <c r="D6" s="673">
        <f>Synthèse!C5</f>
        <v>714</v>
      </c>
      <c r="E6" s="683">
        <f ca="1">Synthèse!E5</f>
        <v>480</v>
      </c>
      <c r="F6" s="684">
        <f ca="1">Synthèse!L5</f>
        <v>206</v>
      </c>
      <c r="G6" s="685">
        <f ca="1">Synthèse!M5</f>
        <v>265</v>
      </c>
      <c r="H6" s="686">
        <f ca="1">Synthèse!G5</f>
        <v>3</v>
      </c>
      <c r="I6" s="687">
        <f ca="1">Synthèse!H5</f>
        <v>6</v>
      </c>
      <c r="J6" s="687" cm="1">
        <f t="array" aca="1" ref="J6" ca="1">SUM(IFERROR(F6:I6,0))</f>
        <v>480</v>
      </c>
      <c r="L6" s="575" t="str">
        <f>Synthèse!$A$19</f>
        <v>Tour</v>
      </c>
      <c r="M6" s="741">
        <f>Synthèse!$B$19</f>
        <v>2</v>
      </c>
      <c r="N6" s="778"/>
      <c r="O6" s="778"/>
      <c r="P6" s="778"/>
      <c r="Q6" s="742"/>
      <c r="U6" s="664">
        <v>3</v>
      </c>
      <c r="V6" s="665" t="str">
        <f>Synthèse!$B5</f>
        <v>Gymnase B</v>
      </c>
      <c r="W6" s="662">
        <f>Synthèse!$C5</f>
        <v>714</v>
      </c>
      <c r="X6" s="693">
        <f ca="1">Synthèse!$E5</f>
        <v>480</v>
      </c>
      <c r="Y6" s="694">
        <f t="shared" ca="1" si="0"/>
        <v>0.67226890756302526</v>
      </c>
      <c r="Z6" s="635">
        <f t="shared" ca="1" si="0"/>
        <v>0.67226890756302526</v>
      </c>
    </row>
    <row r="7" spans="1:26" s="555" customFormat="1" ht="44.25" customHeight="1" x14ac:dyDescent="0.8">
      <c r="B7" s="671">
        <v>4</v>
      </c>
      <c r="C7" s="672" t="str" cm="1">
        <f t="array" aca="1" ref="C7" ca="1">INDIRECT("'Synthèse'!$B" &amp; ROW()-1)</f>
        <v>Gymnase B</v>
      </c>
      <c r="D7" s="673">
        <f>Synthèse!C6</f>
        <v>679</v>
      </c>
      <c r="E7" s="683">
        <f ca="1">Synthèse!E6</f>
        <v>382</v>
      </c>
      <c r="F7" s="684">
        <f ca="1">Synthèse!L6</f>
        <v>147</v>
      </c>
      <c r="G7" s="685">
        <f ca="1">Synthèse!M6</f>
        <v>222</v>
      </c>
      <c r="H7" s="686">
        <f ca="1">Synthèse!G6</f>
        <v>5</v>
      </c>
      <c r="I7" s="687">
        <f ca="1">Synthèse!H6</f>
        <v>8</v>
      </c>
      <c r="J7" s="687" cm="1">
        <f t="array" aca="1" ref="J7" ca="1">SUM(IFERROR(F7:I7,0))</f>
        <v>382</v>
      </c>
      <c r="L7" s="576" t="str">
        <f>Synthèse!$A$20</f>
        <v>Ville</v>
      </c>
      <c r="M7" s="779" t="str">
        <f>Synthèse!$B$20</f>
        <v>Cogolin</v>
      </c>
      <c r="N7" s="780"/>
      <c r="O7" s="780"/>
      <c r="P7" s="780"/>
      <c r="Q7" s="781"/>
      <c r="U7" s="664">
        <v>4</v>
      </c>
      <c r="V7" s="665" t="str">
        <f>Synthèse!$B6</f>
        <v>Gymnase B</v>
      </c>
      <c r="W7" s="662">
        <f>Synthèse!$C6</f>
        <v>679</v>
      </c>
      <c r="X7" s="693">
        <f ca="1">Synthèse!$E6</f>
        <v>382</v>
      </c>
      <c r="Y7" s="694">
        <f t="shared" ca="1" si="0"/>
        <v>0.5625920471281296</v>
      </c>
      <c r="Z7" s="635">
        <f t="shared" ca="1" si="0"/>
        <v>0.5625920471281296</v>
      </c>
    </row>
    <row r="8" spans="1:26" s="555" customFormat="1" ht="44.25" customHeight="1" x14ac:dyDescent="0.8">
      <c r="B8" s="671">
        <v>5</v>
      </c>
      <c r="C8" s="672" t="str" cm="1">
        <f t="array" aca="1" ref="C8" ca="1">INDIRECT("'Synthèse'!$B" &amp; ROW()-1)</f>
        <v>COSEC</v>
      </c>
      <c r="D8" s="673">
        <f>Synthèse!C7</f>
        <v>701</v>
      </c>
      <c r="E8" s="683">
        <f ca="1">Synthèse!E7</f>
        <v>475</v>
      </c>
      <c r="F8" s="684">
        <f ca="1">Synthèse!L7</f>
        <v>204</v>
      </c>
      <c r="G8" s="685">
        <f ca="1">Synthèse!M7</f>
        <v>251</v>
      </c>
      <c r="H8" s="686">
        <f ca="1">Synthèse!G7</f>
        <v>10</v>
      </c>
      <c r="I8" s="687">
        <f ca="1">Synthèse!H7</f>
        <v>10</v>
      </c>
      <c r="J8" s="687" cm="1">
        <f t="array" aca="1" ref="J8" ca="1">SUM(IFERROR(F8:I8,0))</f>
        <v>475</v>
      </c>
      <c r="U8" s="664">
        <v>5</v>
      </c>
      <c r="V8" s="665" t="str">
        <f>Synthèse!$B7</f>
        <v>COSEC</v>
      </c>
      <c r="W8" s="662">
        <f>Synthèse!$C7</f>
        <v>701</v>
      </c>
      <c r="X8" s="693">
        <f ca="1">Synthèse!$E7</f>
        <v>475</v>
      </c>
      <c r="Y8" s="694">
        <f t="shared" ca="1" si="0"/>
        <v>0.67760342368045645</v>
      </c>
      <c r="Z8" s="635">
        <f t="shared" ca="1" si="0"/>
        <v>0.67760342368045645</v>
      </c>
    </row>
    <row r="9" spans="1:26" s="555" customFormat="1" ht="44.25" customHeight="1" x14ac:dyDescent="0.8">
      <c r="B9" s="671">
        <v>6</v>
      </c>
      <c r="C9" s="672" t="str" cm="1">
        <f t="array" aca="1" ref="C9" ca="1">INDIRECT("'Synthèse'!$B" &amp; ROW()-1)</f>
        <v>COSEC</v>
      </c>
      <c r="D9" s="673">
        <f>Synthèse!C8</f>
        <v>710</v>
      </c>
      <c r="E9" s="683">
        <f ca="1">Synthèse!E8</f>
        <v>380</v>
      </c>
      <c r="F9" s="684">
        <f ca="1">Synthèse!L8</f>
        <v>161</v>
      </c>
      <c r="G9" s="685">
        <f ca="1">Synthèse!M8</f>
        <v>205</v>
      </c>
      <c r="H9" s="686">
        <f ca="1">Synthèse!G8</f>
        <v>2</v>
      </c>
      <c r="I9" s="687">
        <f ca="1">Synthèse!H8</f>
        <v>12</v>
      </c>
      <c r="J9" s="687" cm="1">
        <f t="array" aca="1" ref="J9" ca="1">SUM(IFERROR(F9:I9,0))</f>
        <v>380</v>
      </c>
      <c r="U9" s="664">
        <v>6</v>
      </c>
      <c r="V9" s="665" t="str">
        <f>Synthèse!$B8</f>
        <v>COSEC</v>
      </c>
      <c r="W9" s="662">
        <f>Synthèse!$C8</f>
        <v>710</v>
      </c>
      <c r="X9" s="693">
        <f ca="1">Synthèse!$E8</f>
        <v>380</v>
      </c>
      <c r="Y9" s="694">
        <f t="shared" ca="1" si="0"/>
        <v>0.53521126760563376</v>
      </c>
      <c r="Z9" s="635">
        <f t="shared" ca="1" si="0"/>
        <v>0.53521126760563376</v>
      </c>
    </row>
    <row r="10" spans="1:26" s="555" customFormat="1" ht="44.25" customHeight="1" x14ac:dyDescent="0.8">
      <c r="B10" s="671">
        <v>7</v>
      </c>
      <c r="C10" s="672" t="str" cm="1">
        <f t="array" aca="1" ref="C10" ca="1">INDIRECT("'Synthèse'!$B" &amp; ROW()-1)</f>
        <v>COSEC</v>
      </c>
      <c r="D10" s="673">
        <f>Synthèse!C9</f>
        <v>731</v>
      </c>
      <c r="E10" s="683">
        <f ca="1">Synthèse!E9</f>
        <v>430</v>
      </c>
      <c r="F10" s="684">
        <f ca="1">Synthèse!L9</f>
        <v>172</v>
      </c>
      <c r="G10" s="685">
        <f ca="1">Synthèse!M9</f>
        <v>243</v>
      </c>
      <c r="H10" s="686">
        <f ca="1">Synthèse!G9</f>
        <v>4</v>
      </c>
      <c r="I10" s="687">
        <f ca="1">Synthèse!H9</f>
        <v>11</v>
      </c>
      <c r="J10" s="687" cm="1">
        <f t="array" aca="1" ref="J10" ca="1">SUM(IFERROR(F10:I10,0))</f>
        <v>430</v>
      </c>
      <c r="U10" s="664">
        <v>7</v>
      </c>
      <c r="V10" s="665" t="str">
        <f>Synthèse!$B9</f>
        <v>COSEC</v>
      </c>
      <c r="W10" s="662">
        <f>Synthèse!$C9</f>
        <v>731</v>
      </c>
      <c r="X10" s="693">
        <f ca="1">Synthèse!$E9</f>
        <v>430</v>
      </c>
      <c r="Y10" s="694">
        <f t="shared" ca="1" si="0"/>
        <v>0.58823529411764708</v>
      </c>
      <c r="Z10" s="635">
        <f t="shared" ca="1" si="0"/>
        <v>0.58823529411764708</v>
      </c>
    </row>
    <row r="11" spans="1:26" s="555" customFormat="1" ht="44.25" customHeight="1" x14ac:dyDescent="0.8">
      <c r="B11" s="671">
        <v>8</v>
      </c>
      <c r="C11" s="672" t="str" cm="1">
        <f t="array" aca="1" ref="C11" ca="1">INDIRECT("'Synthèse'!$B" &amp; ROW()-1)</f>
        <v>COSEC</v>
      </c>
      <c r="D11" s="673">
        <f>Synthèse!C10</f>
        <v>645</v>
      </c>
      <c r="E11" s="683">
        <f ca="1">Synthèse!E10</f>
        <v>362</v>
      </c>
      <c r="F11" s="684">
        <f ca="1">Synthèse!L10</f>
        <v>149</v>
      </c>
      <c r="G11" s="685">
        <f ca="1">Synthèse!M10</f>
        <v>200</v>
      </c>
      <c r="H11" s="686">
        <f ca="1">Synthèse!G10</f>
        <v>4</v>
      </c>
      <c r="I11" s="687">
        <f ca="1">Synthèse!H10</f>
        <v>9</v>
      </c>
      <c r="J11" s="687" cm="1">
        <f t="array" aca="1" ref="J11" ca="1">SUM(IFERROR(F11:I11,0))</f>
        <v>362</v>
      </c>
      <c r="L11" s="766" t="str">
        <f ca="1">IF(J16=0,"Attente",IF(J16=E16,"Dépouillement terminé","Actuellement en tête : "))</f>
        <v>Dépouillement terminé</v>
      </c>
      <c r="M11" s="767"/>
      <c r="N11" s="767"/>
      <c r="O11" s="767"/>
      <c r="P11" s="767"/>
      <c r="Q11" s="768"/>
      <c r="U11" s="664">
        <v>8</v>
      </c>
      <c r="V11" s="665" t="str">
        <f>Synthèse!$B10</f>
        <v>COSEC</v>
      </c>
      <c r="W11" s="662">
        <f>Synthèse!$C10</f>
        <v>645</v>
      </c>
      <c r="X11" s="693">
        <f ca="1">Synthèse!$E10</f>
        <v>362</v>
      </c>
      <c r="Y11" s="694">
        <f t="shared" ca="1" si="0"/>
        <v>0.5612403100775194</v>
      </c>
      <c r="Z11" s="635">
        <f t="shared" ca="1" si="0"/>
        <v>0.5612403100775194</v>
      </c>
    </row>
    <row r="12" spans="1:26" s="555" customFormat="1" ht="44.25" customHeight="1" x14ac:dyDescent="0.8">
      <c r="B12" s="671">
        <v>9</v>
      </c>
      <c r="C12" s="672" t="str" cm="1">
        <f t="array" aca="1" ref="C12" ca="1">INDIRECT("'Synthèse'!$B" &amp; ROW()-1)</f>
        <v>CMM</v>
      </c>
      <c r="D12" s="673">
        <f>Synthèse!C11</f>
        <v>710</v>
      </c>
      <c r="E12" s="683">
        <f ca="1">Synthèse!E11</f>
        <v>331</v>
      </c>
      <c r="F12" s="684">
        <f ca="1">Synthèse!L11</f>
        <v>144</v>
      </c>
      <c r="G12" s="685">
        <f ca="1">Synthèse!M11</f>
        <v>170</v>
      </c>
      <c r="H12" s="686">
        <f ca="1">Synthèse!G11</f>
        <v>11</v>
      </c>
      <c r="I12" s="687">
        <f ca="1">Synthèse!H11</f>
        <v>6</v>
      </c>
      <c r="J12" s="687" cm="1">
        <f t="array" aca="1" ref="J12" ca="1">SUM(IFERROR(F12:I12,0))</f>
        <v>331</v>
      </c>
      <c r="L12" s="769"/>
      <c r="M12" s="770"/>
      <c r="N12" s="770"/>
      <c r="O12" s="770"/>
      <c r="P12" s="770"/>
      <c r="Q12" s="771"/>
      <c r="R12" s="579"/>
      <c r="U12" s="664">
        <v>9</v>
      </c>
      <c r="V12" s="665" t="str">
        <f>Synthèse!$B11</f>
        <v>CMM</v>
      </c>
      <c r="W12" s="662">
        <f>Synthèse!$C11</f>
        <v>710</v>
      </c>
      <c r="X12" s="693">
        <f ca="1">Synthèse!$E11</f>
        <v>331</v>
      </c>
      <c r="Y12" s="694">
        <f t="shared" ca="1" si="0"/>
        <v>0.46619718309859154</v>
      </c>
      <c r="Z12" s="635">
        <f t="shared" ca="1" si="0"/>
        <v>0.46619718309859154</v>
      </c>
    </row>
    <row r="13" spans="1:26" s="555" customFormat="1" ht="44.25" customHeight="1" x14ac:dyDescent="0.8">
      <c r="B13" s="671">
        <v>10</v>
      </c>
      <c r="C13" s="672" t="str" cm="1">
        <f t="array" aca="1" ref="C13" ca="1">INDIRECT("'Synthèse'!$B" &amp; ROW()-1)</f>
        <v>CMM</v>
      </c>
      <c r="D13" s="673">
        <f>Synthèse!C12</f>
        <v>609</v>
      </c>
      <c r="E13" s="683">
        <f ca="1">Synthèse!E12</f>
        <v>357</v>
      </c>
      <c r="F13" s="684">
        <f ca="1">Synthèse!L12</f>
        <v>175</v>
      </c>
      <c r="G13" s="685">
        <f ca="1">Synthèse!M12</f>
        <v>168</v>
      </c>
      <c r="H13" s="686">
        <f ca="1">Synthèse!G12</f>
        <v>7</v>
      </c>
      <c r="I13" s="687">
        <f ca="1">Synthèse!H12</f>
        <v>7</v>
      </c>
      <c r="J13" s="687" cm="1">
        <f t="array" aca="1" ref="J13" ca="1">SUM(IFERROR(F13:I13,0))</f>
        <v>357</v>
      </c>
      <c r="L13" s="772" t="str">
        <f ca="1">IF(J16=0,
   "Les premiers résultats ne sont pas encore arrivés",
   IF(COUNTIF(F16:G16,MAX(F16:G16))=1,
      INDEX(F3:G3,MATCH(MAX(F16:G16),F16:G16,0)),
      INDEX(F3:G3,1)&amp;" et "&amp;INDEX(F3:G3,2)&amp;" à égalité"
   )
)</f>
        <v>Mme Isabelle
FARNET RISSO</v>
      </c>
      <c r="M13" s="773"/>
      <c r="N13" s="773"/>
      <c r="O13" s="773"/>
      <c r="P13" s="773"/>
      <c r="Q13" s="774"/>
      <c r="R13" s="579"/>
      <c r="U13" s="664">
        <v>10</v>
      </c>
      <c r="V13" s="665" t="str">
        <f>Synthèse!$B12</f>
        <v>CMM</v>
      </c>
      <c r="W13" s="662">
        <f>Synthèse!$C12</f>
        <v>609</v>
      </c>
      <c r="X13" s="693">
        <f ca="1">Synthèse!$E12</f>
        <v>357</v>
      </c>
      <c r="Y13" s="694">
        <f t="shared" ca="1" si="0"/>
        <v>0.58620689655172409</v>
      </c>
      <c r="Z13" s="635">
        <f t="shared" ca="1" si="0"/>
        <v>0.58620689655172409</v>
      </c>
    </row>
    <row r="14" spans="1:26" s="555" customFormat="1" ht="44.25" customHeight="1" x14ac:dyDescent="0.8">
      <c r="B14" s="671">
        <v>11</v>
      </c>
      <c r="C14" s="672" t="str" cm="1">
        <f t="array" aca="1" ref="C14" ca="1">INDIRECT("'Synthèse'!$B" &amp; ROW()-1)</f>
        <v>CMM</v>
      </c>
      <c r="D14" s="673">
        <f>Synthèse!C13</f>
        <v>691</v>
      </c>
      <c r="E14" s="683">
        <f ca="1">Synthèse!E13</f>
        <v>405</v>
      </c>
      <c r="F14" s="684">
        <f ca="1">Synthèse!L13</f>
        <v>210</v>
      </c>
      <c r="G14" s="685">
        <f ca="1">Synthèse!M13</f>
        <v>174</v>
      </c>
      <c r="H14" s="686">
        <f ca="1">Synthèse!G13</f>
        <v>8</v>
      </c>
      <c r="I14" s="687">
        <f ca="1">Synthèse!H13</f>
        <v>13</v>
      </c>
      <c r="J14" s="687" cm="1">
        <f t="array" aca="1" ref="J14" ca="1">SUM(IFERROR(F14:I14,0))</f>
        <v>405</v>
      </c>
      <c r="L14" s="772"/>
      <c r="M14" s="773"/>
      <c r="N14" s="773"/>
      <c r="O14" s="773"/>
      <c r="P14" s="773"/>
      <c r="Q14" s="774"/>
      <c r="R14" s="580"/>
      <c r="U14" s="664">
        <v>11</v>
      </c>
      <c r="V14" s="665" t="str">
        <f>Synthèse!$B13</f>
        <v>CMM</v>
      </c>
      <c r="W14" s="662">
        <f>Synthèse!$C13</f>
        <v>691</v>
      </c>
      <c r="X14" s="693">
        <f ca="1">Synthèse!$E13</f>
        <v>405</v>
      </c>
      <c r="Y14" s="694">
        <f t="shared" ca="1" si="0"/>
        <v>0.58610709117221416</v>
      </c>
      <c r="Z14" s="635">
        <f t="shared" ca="1" si="0"/>
        <v>0.58610709117221416</v>
      </c>
    </row>
    <row r="15" spans="1:26" s="555" customFormat="1" ht="44.25" customHeight="1" x14ac:dyDescent="0.8">
      <c r="B15" s="674">
        <v>12</v>
      </c>
      <c r="C15" s="675" t="str" cm="1">
        <f t="array" aca="1" ref="C15" ca="1">INDIRECT("'Synthèse'!$B" &amp; ROW()-1)</f>
        <v>Base nautique</v>
      </c>
      <c r="D15" s="676">
        <f>Synthèse!C14</f>
        <v>681</v>
      </c>
      <c r="E15" s="688">
        <f ca="1">Synthèse!E14</f>
        <v>300</v>
      </c>
      <c r="F15" s="684">
        <f ca="1">Synthèse!L14</f>
        <v>154</v>
      </c>
      <c r="G15" s="685">
        <f ca="1">Synthèse!M14</f>
        <v>134</v>
      </c>
      <c r="H15" s="689">
        <f ca="1">Synthèse!G14</f>
        <v>6</v>
      </c>
      <c r="I15" s="690">
        <f ca="1">Synthèse!H14</f>
        <v>6</v>
      </c>
      <c r="J15" s="690" cm="1">
        <f t="array" aca="1" ref="J15" ca="1">SUM(IFERROR(F15:I15,0))</f>
        <v>300</v>
      </c>
      <c r="L15" s="772"/>
      <c r="M15" s="773"/>
      <c r="N15" s="773"/>
      <c r="O15" s="773"/>
      <c r="P15" s="773"/>
      <c r="Q15" s="774"/>
      <c r="R15" s="580"/>
      <c r="U15" s="666">
        <v>12</v>
      </c>
      <c r="V15" s="667" t="str">
        <f>Synthèse!$B14</f>
        <v>Base nautique</v>
      </c>
      <c r="W15" s="663">
        <f>Synthèse!$C14</f>
        <v>681</v>
      </c>
      <c r="X15" s="695">
        <f ca="1">Synthèse!$E14</f>
        <v>300</v>
      </c>
      <c r="Y15" s="696">
        <f t="shared" ca="1" si="0"/>
        <v>0.44052863436123346</v>
      </c>
      <c r="Z15" s="636">
        <f t="shared" ca="1" si="0"/>
        <v>0.44052863436123346</v>
      </c>
    </row>
    <row r="16" spans="1:26" ht="61.5" customHeight="1" thickBot="1" x14ac:dyDescent="0.5">
      <c r="B16" s="762" t="s">
        <v>51</v>
      </c>
      <c r="C16" s="763"/>
      <c r="D16" s="556">
        <f>Synthèse!C15</f>
        <v>8165</v>
      </c>
      <c r="E16" s="557">
        <f ca="1">Synthèse!E15</f>
        <v>4651</v>
      </c>
      <c r="F16" s="558">
        <f ca="1">Synthèse!L15</f>
        <v>2067</v>
      </c>
      <c r="G16" s="559">
        <f ca="1">Synthèse!M15</f>
        <v>2405</v>
      </c>
      <c r="H16" s="560">
        <f ca="1">Synthèse!G15</f>
        <v>78</v>
      </c>
      <c r="I16" s="561">
        <f ca="1">Synthèse!H15</f>
        <v>101</v>
      </c>
      <c r="J16" s="562" cm="1">
        <f t="array" aca="1" ref="J16" ca="1">SUM(IFERROR(F16:I16,0))</f>
        <v>4651</v>
      </c>
      <c r="L16" s="772"/>
      <c r="M16" s="773"/>
      <c r="N16" s="773"/>
      <c r="O16" s="773"/>
      <c r="P16" s="773"/>
      <c r="Q16" s="774"/>
      <c r="R16" s="580"/>
      <c r="S16" s="423"/>
      <c r="T16" s="423"/>
      <c r="U16" s="764" t="s">
        <v>51</v>
      </c>
      <c r="V16" s="765"/>
      <c r="W16" s="382">
        <f>Synthèse!$C15</f>
        <v>8165</v>
      </c>
      <c r="X16" s="633">
        <f ca="1">Synthèse!$E15</f>
        <v>4651</v>
      </c>
      <c r="Y16" s="634">
        <f t="shared" ca="1" si="0"/>
        <v>0.56962645437844461</v>
      </c>
      <c r="Z16" s="637">
        <f t="shared" ca="1" si="0"/>
        <v>0.56962645437844461</v>
      </c>
    </row>
    <row r="17" spans="2:30" ht="69" customHeight="1" thickBot="1" x14ac:dyDescent="0.5">
      <c r="B17" s="739" t="s">
        <v>21</v>
      </c>
      <c r="C17" s="740"/>
      <c r="D17" s="392" t="s">
        <v>10</v>
      </c>
      <c r="E17" s="563">
        <f ca="1">E16/D16</f>
        <v>0.56962645437844461</v>
      </c>
      <c r="F17" s="564">
        <f ca="1">Synthèse!L16</f>
        <v>0.46220930232558138</v>
      </c>
      <c r="G17" s="565">
        <f ca="1">Synthèse!M16</f>
        <v>0.53779069767441856</v>
      </c>
      <c r="H17" s="566">
        <f ca="1">Synthèse!G16</f>
        <v>1.6770586970543969E-2</v>
      </c>
      <c r="I17" s="567">
        <f ca="1">Synthèse!H16</f>
        <v>2.1715760051601807E-2</v>
      </c>
      <c r="J17" s="568">
        <f ca="1">IFERROR(J16/E16,0)</f>
        <v>1</v>
      </c>
      <c r="L17" s="754" t="str">
        <f ca="1">"avec " &amp; MAX(F16:G16) &amp; " voix" &amp; " (" &amp; TEXT(MAX(F17:G17),"0,00%") &amp; " S.E.)"</f>
        <v>avec 2405 voix (53,78% S.E.)</v>
      </c>
      <c r="M17" s="755"/>
      <c r="N17" s="755"/>
      <c r="O17" s="755"/>
      <c r="P17" s="755"/>
      <c r="Q17" s="756"/>
      <c r="R17" s="581"/>
      <c r="S17" s="424"/>
      <c r="T17" s="424"/>
      <c r="U17" s="424"/>
      <c r="V17" s="383"/>
      <c r="W17" s="384"/>
      <c r="X17" s="384"/>
      <c r="Y17" s="385"/>
      <c r="Z17" s="386"/>
      <c r="AC17" s="387"/>
      <c r="AD17" s="387"/>
    </row>
    <row r="18" spans="2:30" ht="16.5" thickBot="1" x14ac:dyDescent="0.5"/>
    <row r="19" spans="2:30" ht="39" customHeight="1" x14ac:dyDescent="0.45">
      <c r="B19" s="745"/>
      <c r="C19" s="746"/>
      <c r="D19" s="746"/>
      <c r="E19" s="746"/>
      <c r="F19" s="551"/>
      <c r="G19" s="551"/>
      <c r="H19" s="552"/>
      <c r="J19" s="443"/>
      <c r="L19" s="750" t="s">
        <v>106</v>
      </c>
      <c r="M19" s="750"/>
      <c r="N19" s="750"/>
      <c r="O19" s="750"/>
      <c r="P19" s="750"/>
      <c r="Q19" s="750"/>
      <c r="W19" s="573" t="str">
        <f>Synthèse!$A$17</f>
        <v>Date</v>
      </c>
      <c r="X19" s="752">
        <f>Synthèse!$B$17</f>
        <v>46103</v>
      </c>
      <c r="Y19" s="753"/>
    </row>
    <row r="20" spans="2:30" ht="39.75" customHeight="1" x14ac:dyDescent="1.05">
      <c r="B20" s="746"/>
      <c r="C20" s="746"/>
      <c r="D20" s="746"/>
      <c r="E20" s="746"/>
      <c r="F20" s="553"/>
      <c r="G20" s="553"/>
      <c r="H20" s="554"/>
      <c r="J20" s="443"/>
      <c r="L20" s="750"/>
      <c r="M20" s="750"/>
      <c r="N20" s="750"/>
      <c r="O20" s="750"/>
      <c r="P20" s="750"/>
      <c r="Q20" s="750"/>
      <c r="R20" s="578"/>
      <c r="S20" s="425"/>
      <c r="W20" s="574" t="str">
        <f>Synthèse!$A$18</f>
        <v>Election</v>
      </c>
      <c r="X20" s="741" t="str">
        <f>Synthèse!$B$18</f>
        <v>Municipale</v>
      </c>
      <c r="Y20" s="742"/>
    </row>
    <row r="21" spans="2:30" ht="38.25" customHeight="1" x14ac:dyDescent="1.05">
      <c r="L21" s="751">
        <f ca="1">NOW()</f>
        <v>46104.556942013885</v>
      </c>
      <c r="M21" s="751"/>
      <c r="N21" s="751"/>
      <c r="O21" s="751"/>
      <c r="P21" s="751"/>
      <c r="Q21" s="751"/>
      <c r="R21" s="578"/>
      <c r="W21" s="575" t="str">
        <f>Synthèse!$A$19</f>
        <v>Tour</v>
      </c>
      <c r="X21" s="743">
        <f>Synthèse!$B$19</f>
        <v>2</v>
      </c>
      <c r="Y21" s="744"/>
    </row>
    <row r="22" spans="2:30" ht="40.5" customHeight="1" thickBot="1" x14ac:dyDescent="0.5">
      <c r="L22" s="751"/>
      <c r="M22" s="751"/>
      <c r="N22" s="751"/>
      <c r="O22" s="751"/>
      <c r="P22" s="751"/>
      <c r="Q22" s="751"/>
      <c r="R22" s="577"/>
      <c r="W22" s="576" t="str">
        <f>Synthèse!$A$20</f>
        <v>Ville</v>
      </c>
      <c r="X22" s="747" t="str">
        <f>Synthèse!$B$20</f>
        <v>Cogolin</v>
      </c>
      <c r="Y22" s="748"/>
    </row>
    <row r="23" spans="2:30" ht="21" customHeight="1" x14ac:dyDescent="0.45">
      <c r="L23" s="751"/>
      <c r="M23" s="751"/>
      <c r="N23" s="751"/>
      <c r="O23" s="751"/>
      <c r="P23" s="751"/>
      <c r="Q23" s="751"/>
    </row>
    <row r="24" spans="2:30" ht="30" customHeight="1" x14ac:dyDescent="0.45">
      <c r="L24" s="577"/>
      <c r="M24" s="577"/>
      <c r="N24" s="577"/>
      <c r="O24" s="577"/>
      <c r="P24" s="577"/>
      <c r="Q24" s="577"/>
      <c r="W24" s="749" t="s">
        <v>107</v>
      </c>
      <c r="X24" s="749"/>
      <c r="Y24" s="749"/>
    </row>
    <row r="25" spans="2:30" ht="30" customHeight="1" x14ac:dyDescent="0.45">
      <c r="W25" s="749"/>
      <c r="X25" s="749"/>
      <c r="Y25" s="749"/>
    </row>
    <row r="26" spans="2:30" ht="73" x14ac:dyDescent="0.45">
      <c r="W26" s="738">
        <f ca="1">NOW()</f>
        <v>46104.556942013885</v>
      </c>
      <c r="X26" s="738"/>
      <c r="Y26" s="738"/>
    </row>
    <row r="27" spans="2:30" ht="15.75" customHeight="1" x14ac:dyDescent="0.45"/>
    <row r="28" spans="2:30" ht="27.75" customHeight="1" x14ac:dyDescent="0.45"/>
    <row r="30" spans="2:30" ht="15.75" customHeight="1" x14ac:dyDescent="0.45">
      <c r="W30" s="437"/>
      <c r="X30" s="437"/>
      <c r="Y30" s="437"/>
    </row>
    <row r="31" spans="2:30" ht="16.5" customHeight="1" x14ac:dyDescent="0.45">
      <c r="W31" s="437"/>
      <c r="X31" s="437"/>
      <c r="Y31" s="437"/>
    </row>
    <row r="37" spans="4:4" x14ac:dyDescent="0.45">
      <c r="D37" s="389"/>
    </row>
    <row r="44" spans="4:4" ht="36.65" customHeight="1" x14ac:dyDescent="0.45"/>
    <row r="53" spans="1:6" ht="24.5" x14ac:dyDescent="0.65">
      <c r="A53" s="388"/>
      <c r="B53" s="388"/>
      <c r="C53" s="388"/>
      <c r="D53" s="388"/>
      <c r="E53" s="388"/>
      <c r="F53" s="388"/>
    </row>
    <row r="54" spans="1:6" ht="24.5" x14ac:dyDescent="0.65">
      <c r="A54" s="388"/>
      <c r="B54" s="388"/>
      <c r="C54" s="388"/>
      <c r="D54" s="388"/>
      <c r="E54" s="388"/>
      <c r="F54" s="388"/>
    </row>
    <row r="55" spans="1:6" ht="24.5" x14ac:dyDescent="0.65">
      <c r="A55" s="388"/>
      <c r="B55" s="388"/>
      <c r="C55" s="388" t="s">
        <v>108</v>
      </c>
      <c r="D55" s="388"/>
      <c r="E55" s="388"/>
      <c r="F55" s="388"/>
    </row>
    <row r="56" spans="1:6" ht="24.5" x14ac:dyDescent="0.65">
      <c r="A56" s="388"/>
      <c r="B56" s="388"/>
      <c r="C56" s="388" t="s">
        <v>109</v>
      </c>
      <c r="D56" s="388"/>
      <c r="E56" s="388" t="s">
        <v>110</v>
      </c>
      <c r="F56" s="388"/>
    </row>
    <row r="57" spans="1:6" ht="24.5" x14ac:dyDescent="0.65">
      <c r="A57" s="388"/>
      <c r="B57" s="388"/>
      <c r="C57" s="388" t="s">
        <v>111</v>
      </c>
      <c r="D57" s="388"/>
      <c r="E57" s="388"/>
      <c r="F57" s="388"/>
    </row>
    <row r="58" spans="1:6" ht="24.5" x14ac:dyDescent="0.65">
      <c r="A58" s="388"/>
      <c r="B58" s="388"/>
      <c r="C58" s="388" t="s">
        <v>112</v>
      </c>
      <c r="D58" s="388"/>
      <c r="E58" s="388"/>
      <c r="F58" s="388"/>
    </row>
    <row r="59" spans="1:6" ht="24.5" x14ac:dyDescent="0.65">
      <c r="A59" s="388"/>
      <c r="B59" s="388"/>
      <c r="C59" s="388" t="s">
        <v>113</v>
      </c>
      <c r="D59" s="388"/>
      <c r="E59" s="388"/>
      <c r="F59" s="388"/>
    </row>
    <row r="60" spans="1:6" ht="24.5" x14ac:dyDescent="0.65">
      <c r="A60" s="388"/>
      <c r="B60" s="388"/>
      <c r="C60" s="388" t="s">
        <v>114</v>
      </c>
      <c r="D60" s="388"/>
      <c r="E60" s="388"/>
      <c r="F60" s="388"/>
    </row>
    <row r="61" spans="1:6" ht="24.5" x14ac:dyDescent="0.65">
      <c r="A61" s="388"/>
      <c r="B61" s="388"/>
      <c r="C61" s="388" t="s">
        <v>115</v>
      </c>
      <c r="D61" s="388"/>
      <c r="E61" s="388"/>
      <c r="F61" s="388"/>
    </row>
    <row r="62" spans="1:6" ht="24.5" x14ac:dyDescent="0.65">
      <c r="A62" s="388"/>
      <c r="B62" s="388"/>
      <c r="C62" s="388" t="s">
        <v>116</v>
      </c>
      <c r="D62" s="388"/>
      <c r="E62" s="388"/>
      <c r="F62" s="388"/>
    </row>
    <row r="63" spans="1:6" ht="24.5" x14ac:dyDescent="0.65">
      <c r="A63" s="388"/>
      <c r="B63" s="388"/>
      <c r="C63" s="388"/>
      <c r="D63" s="388"/>
      <c r="E63" s="388"/>
      <c r="F63" s="388"/>
    </row>
  </sheetData>
  <mergeCells count="24">
    <mergeCell ref="X3:Z3"/>
    <mergeCell ref="B3:C3"/>
    <mergeCell ref="B16:C16"/>
    <mergeCell ref="U16:V16"/>
    <mergeCell ref="L11:Q12"/>
    <mergeCell ref="L13:Q16"/>
    <mergeCell ref="M4:Q4"/>
    <mergeCell ref="M5:Q5"/>
    <mergeCell ref="M6:Q6"/>
    <mergeCell ref="M7:Q7"/>
    <mergeCell ref="U3:V3"/>
    <mergeCell ref="W26:Y26"/>
    <mergeCell ref="B17:C17"/>
    <mergeCell ref="X20:Y20"/>
    <mergeCell ref="X21:Y21"/>
    <mergeCell ref="B19:C20"/>
    <mergeCell ref="X22:Y22"/>
    <mergeCell ref="D19:E19"/>
    <mergeCell ref="D20:E20"/>
    <mergeCell ref="W24:Y25"/>
    <mergeCell ref="L19:Q20"/>
    <mergeCell ref="L21:Q23"/>
    <mergeCell ref="X19:Y19"/>
    <mergeCell ref="L17:Q17"/>
  </mergeCells>
  <conditionalFormatting sqref="E4:J16">
    <cfRule type="cellIs" dxfId="23" priority="10" operator="equal">
      <formula>0</formula>
    </cfRule>
  </conditionalFormatting>
  <conditionalFormatting sqref="E17:J17">
    <cfRule type="cellIs" dxfId="22" priority="12" operator="equal">
      <formula>1</formula>
    </cfRule>
    <cfRule type="cellIs" dxfId="21" priority="16" operator="greaterThan">
      <formula>1</formula>
    </cfRule>
  </conditionalFormatting>
  <conditionalFormatting sqref="F17:G17">
    <cfRule type="cellIs" dxfId="20" priority="4" operator="lessThan">
      <formula>0.05</formula>
    </cfRule>
  </conditionalFormatting>
  <conditionalFormatting sqref="F4:J17">
    <cfRule type="cellIs" dxfId="19" priority="25" operator="lessThan">
      <formula>0</formula>
    </cfRule>
  </conditionalFormatting>
  <conditionalFormatting sqref="J4:J16">
    <cfRule type="cellIs" dxfId="18" priority="11" operator="equal">
      <formula>$E4</formula>
    </cfRule>
    <cfRule type="cellIs" dxfId="17" priority="15" operator="greaterThan">
      <formula>$E4</formula>
    </cfRule>
  </conditionalFormatting>
  <conditionalFormatting sqref="J17">
    <cfRule type="dataBar" priority="9">
      <dataBar>
        <cfvo type="num" val="0"/>
        <cfvo type="num" val="1"/>
        <color rgb="FFC4D7EE"/>
      </dataBar>
      <extLst>
        <ext xmlns:x14="http://schemas.microsoft.com/office/spreadsheetml/2009/9/main" uri="{B025F937-C7B1-47D3-B67F-A62EFF666E3E}">
          <x14:id>{AB3B3196-224A-48FB-B2F0-B9FB819CDEE9}</x14:id>
        </ext>
      </extLst>
    </cfRule>
  </conditionalFormatting>
  <conditionalFormatting sqref="X4:X16">
    <cfRule type="cellIs" dxfId="16" priority="5" operator="greaterThan">
      <formula>$W4</formula>
    </cfRule>
  </conditionalFormatting>
  <conditionalFormatting sqref="Y4:Y16">
    <cfRule type="cellIs" dxfId="15" priority="6" operator="greaterThan">
      <formula>1</formula>
    </cfRule>
  </conditionalFormatting>
  <conditionalFormatting sqref="Z4:Z15">
    <cfRule type="dataBar" priority="21">
      <dataBar showValue="0"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{59EB3AB6-2D14-453F-AA52-A2563E1D2441}</x14:id>
        </ext>
      </extLst>
    </cfRule>
  </conditionalFormatting>
  <conditionalFormatting sqref="Z16:Z17">
    <cfRule type="dataBar" priority="22">
      <dataBar showValue="0">
        <cfvo type="num" val="0"/>
        <cfvo type="num" val="1"/>
        <color theme="4" tint="-0.499984740745262"/>
      </dataBar>
      <extLst>
        <ext xmlns:x14="http://schemas.microsoft.com/office/spreadsheetml/2009/9/main" uri="{B025F937-C7B1-47D3-B67F-A62EFF666E3E}">
          <x14:id>{FF1F790B-82C7-4213-8230-EE830E6EB4BF}</x14:id>
        </ext>
      </extLst>
    </cfRule>
  </conditionalFormatting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3B3196-224A-48FB-B2F0-B9FB819CDE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59EB3AB6-2D14-453F-AA52-A2563E1D2441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Z4:Z15</xm:sqref>
        </x14:conditionalFormatting>
        <x14:conditionalFormatting xmlns:xm="http://schemas.microsoft.com/office/excel/2006/main">
          <x14:cfRule type="dataBar" id="{FF1F790B-82C7-4213-8230-EE830E6EB4B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Z16:Z17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498A-C5AD-456C-B4A9-C287401D3099}">
  <sheetPr codeName="Feuil5">
    <tabColor theme="9" tint="0.79998168889431442"/>
  </sheetPr>
  <dimension ref="A1:AJ40"/>
  <sheetViews>
    <sheetView workbookViewId="0">
      <selection activeCell="R25" sqref="R25"/>
    </sheetView>
  </sheetViews>
  <sheetFormatPr baseColWidth="10" defaultColWidth="11.453125" defaultRowHeight="12.5" x14ac:dyDescent="0.25"/>
  <cols>
    <col min="1" max="1" width="17.81640625" customWidth="1"/>
    <col min="2" max="2" width="20.26953125" customWidth="1"/>
    <col min="3" max="3" width="4.81640625" customWidth="1"/>
    <col min="4" max="4" width="9.7265625" customWidth="1"/>
    <col min="5" max="5" width="26.81640625" customWidth="1"/>
    <col min="6" max="6" width="12.54296875" customWidth="1"/>
    <col min="7" max="7" width="12" bestFit="1" customWidth="1"/>
    <col min="8" max="9" width="11.54296875" customWidth="1"/>
    <col min="10" max="11" width="15.7265625" customWidth="1"/>
    <col min="13" max="13" width="19.54296875" customWidth="1"/>
    <col min="14" max="14" width="20.26953125" customWidth="1"/>
    <col min="15" max="15" width="19.54296875" customWidth="1"/>
    <col min="16" max="16" width="21.453125" customWidth="1"/>
    <col min="17" max="18" width="17.54296875" customWidth="1"/>
    <col min="19" max="19" width="14.1796875" customWidth="1"/>
    <col min="20" max="23" width="7.81640625" customWidth="1"/>
    <col min="24" max="24" width="10.1796875" bestFit="1" customWidth="1"/>
    <col min="25" max="25" width="9.7265625" customWidth="1"/>
    <col min="26" max="26" width="11.26953125" customWidth="1"/>
    <col min="27" max="27" width="10.1796875" bestFit="1" customWidth="1"/>
    <col min="28" max="28" width="11.81640625" customWidth="1"/>
    <col min="29" max="34" width="7.81640625" customWidth="1"/>
    <col min="36" max="36" width="9" bestFit="1" customWidth="1"/>
    <col min="37" max="38" width="10.1796875" bestFit="1" customWidth="1"/>
    <col min="39" max="39" width="9" bestFit="1" customWidth="1"/>
    <col min="40" max="41" width="10.1796875" bestFit="1" customWidth="1"/>
  </cols>
  <sheetData>
    <row r="1" spans="1:36" ht="41.25" customHeight="1" thickTop="1" thickBot="1" x14ac:dyDescent="0.3">
      <c r="A1" s="490" t="str">
        <f>Synthèse!$A$17</f>
        <v>Date</v>
      </c>
      <c r="B1" s="433">
        <f>Synthèse!$B$17</f>
        <v>46103</v>
      </c>
      <c r="E1" s="447" t="s">
        <v>117</v>
      </c>
      <c r="F1" s="448" t="s">
        <v>118</v>
      </c>
      <c r="G1" s="449" t="s">
        <v>21</v>
      </c>
      <c r="H1" s="447" t="s">
        <v>119</v>
      </c>
      <c r="I1" s="450" t="s">
        <v>120</v>
      </c>
      <c r="J1" s="451" t="s">
        <v>121</v>
      </c>
      <c r="K1" s="450" t="s">
        <v>122</v>
      </c>
      <c r="L1" s="451" t="s">
        <v>123</v>
      </c>
      <c r="M1" s="452" t="s">
        <v>124</v>
      </c>
      <c r="N1" s="582" t="s">
        <v>125</v>
      </c>
      <c r="O1" s="583" t="s">
        <v>126</v>
      </c>
      <c r="P1" s="584" t="s">
        <v>127</v>
      </c>
      <c r="Y1" s="807" t="s">
        <v>128</v>
      </c>
      <c r="Z1" s="808"/>
      <c r="AA1" s="808"/>
      <c r="AB1" s="502">
        <f>B1</f>
        <v>46103</v>
      </c>
    </row>
    <row r="2" spans="1:36" ht="30" customHeight="1" thickBot="1" x14ac:dyDescent="0.3">
      <c r="A2" s="491" t="str">
        <f>Synthèse!$A$18</f>
        <v>Election</v>
      </c>
      <c r="B2" s="434" t="str">
        <f>Synthèse!$B$18</f>
        <v>Municipale</v>
      </c>
      <c r="E2" s="444" t="str">
        <f>Synthèse!L2</f>
        <v>M. Pierre-Yves
TIERCE</v>
      </c>
      <c r="F2" s="471">
        <f ca="1">Synthèse!L15</f>
        <v>2067</v>
      </c>
      <c r="G2" s="472">
        <f ca="1">Synthèse!L16</f>
        <v>0.46220930232558138</v>
      </c>
      <c r="H2" s="473" t="b">
        <f ca="1">IF(G2&gt;=5%,TRUE,FALSE)</f>
        <v>1</v>
      </c>
      <c r="I2" s="486">
        <f ca="1">IF($F$7=0,0,
   IF($F14=$F$7,
      IF($E$9,
         IF($M2=_xlfn.MAXIFS($M$2:$M$3,$F$2:$F$3,$F$7),$F$19,0),
         $F$19
      ),
   0)
)</f>
        <v>0</v>
      </c>
      <c r="J2" s="459">
        <f ca="1">IF($F$7=0,0,
   IF($F14=$F$7,
      IF($E$9,
         IF($M2=_xlfn.MAXIFS($M$2:$M$3,$F$2:$F$3,$F$7),$F$20,0),
         $F$20
      ),
   0)
)</f>
        <v>0</v>
      </c>
      <c r="K2" s="486">
        <f ca="1">COUNTIF(G14:V14,"&gt;="&amp;LARGE($G$14:$V$15,$G$19))</f>
        <v>7</v>
      </c>
      <c r="L2" s="459">
        <f ca="1">COUNTIF(G14:V14,"&gt;="&amp;LARGE($G$14:$V$15,$G$20))</f>
        <v>2</v>
      </c>
      <c r="M2" s="500">
        <f>IFERROR(AVERAGE(AA6:AA38),NA())</f>
        <v>52.35451019434592</v>
      </c>
      <c r="N2" s="587">
        <f ca="1">I2+K2</f>
        <v>7</v>
      </c>
      <c r="O2" s="588">
        <f ca="1">J2+L2</f>
        <v>2</v>
      </c>
      <c r="P2" s="585" t="str">
        <f>Synthèse!L2</f>
        <v>M. Pierre-Yves
TIERCE</v>
      </c>
      <c r="AJ2" s="442"/>
    </row>
    <row r="3" spans="1:36" ht="38.25" customHeight="1" thickBot="1" x14ac:dyDescent="0.3">
      <c r="A3" s="492" t="str">
        <f>Synthèse!$A$19</f>
        <v>Tour</v>
      </c>
      <c r="B3" s="435">
        <f>Synthèse!$B$19</f>
        <v>2</v>
      </c>
      <c r="E3" s="446" t="str">
        <f>Synthèse!M2</f>
        <v>Mme Isabelle
FARNET RISSO</v>
      </c>
      <c r="F3" s="474">
        <f ca="1">Synthèse!M15</f>
        <v>2405</v>
      </c>
      <c r="G3" s="475">
        <f ca="1">Synthèse!M16</f>
        <v>0.53779069767441856</v>
      </c>
      <c r="H3" s="476" t="b">
        <f ca="1">IF(G3&gt;=5%,TRUE,FALSE)</f>
        <v>1</v>
      </c>
      <c r="I3" s="477">
        <f ca="1">IF($F$7=0,0,
   IF($F15=$F$7,
      IF($E$9,
         IF($M3=_xlfn.MAXIFS($M$2:$M$3,$F$2:$F$3,$F$7),$F$19,0),
         $F$19
      ),
   0)
)</f>
        <v>17</v>
      </c>
      <c r="J3" s="463">
        <f ca="1">IF($F$7=0,0,
   IF($F15=$F$7,
      IF($E$9,
         IF($M3=_xlfn.MAXIFS($M$2:$M$3,$F$2:$F$3,$F$7),$F$20,0),
         $F$20
      ),
   0)
)</f>
        <v>5</v>
      </c>
      <c r="K3" s="477">
        <f ca="1">COUNTIF(G15:V15,"&gt;="&amp;LARGE($G$14:$V$15,$G$19))</f>
        <v>9</v>
      </c>
      <c r="L3" s="463">
        <f ca="1">COUNTIF(G15:V15,"&gt;="&amp;LARGE($G$14:$V$15,$G$20))</f>
        <v>2</v>
      </c>
      <c r="M3" s="501">
        <f>IFERROR(AVERAGE(AC6:AC38),NA())</f>
        <v>57.166905191545851</v>
      </c>
      <c r="N3" s="589">
        <f ca="1">I3+K3</f>
        <v>26</v>
      </c>
      <c r="O3" s="590">
        <f ca="1">J3+L3</f>
        <v>7</v>
      </c>
      <c r="P3" s="586" t="str">
        <f>Synthèse!M2</f>
        <v>Mme Isabelle
FARNET RISSO</v>
      </c>
      <c r="Y3" s="479"/>
      <c r="Z3" s="788" t="str">
        <f>Synthèse!L2</f>
        <v>M. Pierre-Yves
TIERCE</v>
      </c>
      <c r="AA3" s="789"/>
      <c r="AB3" s="784" t="str">
        <f>Synthèse!M2</f>
        <v>Mme Isabelle
FARNET RISSO</v>
      </c>
      <c r="AC3" s="785"/>
      <c r="AD3" s="480"/>
    </row>
    <row r="4" spans="1:36" ht="22.5" customHeight="1" thickBot="1" x14ac:dyDescent="0.3">
      <c r="A4" s="493" t="str">
        <f>Synthèse!$A$20</f>
        <v>Ville</v>
      </c>
      <c r="B4" s="436" t="str">
        <f>Synthèse!$B$20</f>
        <v>Cogolin</v>
      </c>
      <c r="I4" s="489">
        <f t="shared" ref="I4:K4" ca="1" si="0">SUM(I2:I3)</f>
        <v>17</v>
      </c>
      <c r="J4" s="488">
        <f t="shared" ca="1" si="0"/>
        <v>5</v>
      </c>
      <c r="K4" s="641">
        <f t="shared" ca="1" si="0"/>
        <v>16</v>
      </c>
      <c r="L4" s="642">
        <f ca="1">SUM(L2:L3)</f>
        <v>4</v>
      </c>
      <c r="M4" s="485" t="s">
        <v>51</v>
      </c>
      <c r="N4" s="487">
        <f ca="1">SUM(N2:N3)</f>
        <v>33</v>
      </c>
      <c r="O4" s="488">
        <f ca="1">SUM(O2:O3)</f>
        <v>9</v>
      </c>
      <c r="Y4" s="479"/>
      <c r="Z4" s="790"/>
      <c r="AA4" s="791"/>
      <c r="AB4" s="786"/>
      <c r="AC4" s="787"/>
      <c r="AD4" s="480"/>
    </row>
    <row r="5" spans="1:36" ht="32.25" customHeight="1" thickBot="1" x14ac:dyDescent="0.3">
      <c r="N5" s="140"/>
      <c r="O5" s="140"/>
      <c r="Y5" s="481" t="s">
        <v>129</v>
      </c>
      <c r="Z5" s="499" t="s">
        <v>130</v>
      </c>
      <c r="AA5" s="498" t="s">
        <v>131</v>
      </c>
      <c r="AB5" s="450" t="s">
        <v>130</v>
      </c>
      <c r="AC5" s="456" t="s">
        <v>131</v>
      </c>
    </row>
    <row r="6" spans="1:36" ht="25.5" customHeight="1" thickBot="1" x14ac:dyDescent="0.3">
      <c r="A6" s="805" t="s">
        <v>132</v>
      </c>
      <c r="B6" s="806"/>
      <c r="D6" s="799" t="s">
        <v>133</v>
      </c>
      <c r="E6" s="802" t="str">
        <f ca="1">Projection!L13</f>
        <v>Mme Isabelle
FARNET RISSO</v>
      </c>
      <c r="F6" s="539" t="s">
        <v>134</v>
      </c>
      <c r="G6" s="457" t="s">
        <v>135</v>
      </c>
      <c r="M6" s="809" t="s">
        <v>136</v>
      </c>
      <c r="N6" s="809"/>
      <c r="Y6" s="482">
        <v>1</v>
      </c>
      <c r="Z6" s="646">
        <v>30777</v>
      </c>
      <c r="AA6" s="462">
        <f>IF(ISBLANK(Z6),"",($AB$1-Z6)/365.25)</f>
        <v>41.960301163586585</v>
      </c>
      <c r="AB6" s="647">
        <v>24458</v>
      </c>
      <c r="AC6" s="462">
        <f>IF(ISBLANK(AB6),"",($AB$1-AB6)/365.25)</f>
        <v>59.260780287474333</v>
      </c>
    </row>
    <row r="7" spans="1:36" ht="31.5" customHeight="1" x14ac:dyDescent="0.25">
      <c r="A7" s="494" t="s">
        <v>137</v>
      </c>
      <c r="B7" s="495" t="s">
        <v>138</v>
      </c>
      <c r="D7" s="800"/>
      <c r="E7" s="803"/>
      <c r="F7" s="810">
        <f ca="1">MAX(F2:F3)</f>
        <v>2405</v>
      </c>
      <c r="G7" s="812">
        <f ca="1">MAX(G2:G3)</f>
        <v>0.53779069767441856</v>
      </c>
      <c r="M7" s="809"/>
      <c r="N7" s="809"/>
      <c r="Y7" s="483">
        <v>2</v>
      </c>
      <c r="Z7" s="505">
        <v>26948</v>
      </c>
      <c r="AA7" s="496">
        <f t="shared" ref="AA7:AA40" si="1">IF(ISBLANK(Z7),"",($AB$1-Z7)/365.25)</f>
        <v>52.4435318275154</v>
      </c>
      <c r="AB7" s="509">
        <v>23187</v>
      </c>
      <c r="AC7" s="478">
        <f t="shared" ref="AC7:AC40" si="2">IF(ISBLANK(AB7),"",($AB$1-AB7)/365.25)</f>
        <v>62.740588637919231</v>
      </c>
    </row>
    <row r="8" spans="1:36" ht="34.5" customHeight="1" thickBot="1" x14ac:dyDescent="0.3">
      <c r="A8" s="503">
        <v>33</v>
      </c>
      <c r="B8" s="504">
        <v>9</v>
      </c>
      <c r="D8" s="801"/>
      <c r="E8" s="804"/>
      <c r="F8" s="811"/>
      <c r="G8" s="813"/>
      <c r="Y8" s="483">
        <v>3</v>
      </c>
      <c r="Z8" s="506">
        <v>18517</v>
      </c>
      <c r="AA8" s="496">
        <f t="shared" si="1"/>
        <v>75.526351813826153</v>
      </c>
      <c r="AB8" s="509">
        <v>26775</v>
      </c>
      <c r="AC8" s="478">
        <f t="shared" si="2"/>
        <v>52.917180013689254</v>
      </c>
    </row>
    <row r="9" spans="1:36" ht="23.25" customHeight="1" thickBot="1" x14ac:dyDescent="0.3">
      <c r="D9" s="643" t="s">
        <v>139</v>
      </c>
      <c r="E9" s="644" t="b">
        <f ca="1">IF(COUNTIF(F2:F3,F7)&gt;1,TRUE,FALSE)</f>
        <v>0</v>
      </c>
      <c r="F9" s="797" t="s">
        <v>140</v>
      </c>
      <c r="G9" s="798"/>
      <c r="H9" s="798"/>
      <c r="I9" s="798"/>
      <c r="Y9" s="483">
        <v>4</v>
      </c>
      <c r="Z9" s="505">
        <v>31701</v>
      </c>
      <c r="AA9" s="496">
        <f t="shared" si="1"/>
        <v>39.430527036276523</v>
      </c>
      <c r="AB9" s="509">
        <v>23712</v>
      </c>
      <c r="AC9" s="478">
        <f t="shared" si="2"/>
        <v>61.303216974674882</v>
      </c>
    </row>
    <row r="10" spans="1:36" ht="23.25" customHeight="1" x14ac:dyDescent="0.25">
      <c r="N10" s="88"/>
      <c r="O10" s="88"/>
      <c r="Y10" s="483">
        <v>5</v>
      </c>
      <c r="Z10" s="505">
        <v>18521</v>
      </c>
      <c r="AA10" s="496">
        <f t="shared" si="1"/>
        <v>75.515400410677614</v>
      </c>
      <c r="AB10" s="509">
        <v>26783</v>
      </c>
      <c r="AC10" s="478">
        <f t="shared" si="2"/>
        <v>52.895277207392198</v>
      </c>
    </row>
    <row r="11" spans="1:36" ht="24" customHeight="1" thickBot="1" x14ac:dyDescent="0.3">
      <c r="N11" s="441"/>
      <c r="O11" s="140"/>
      <c r="Y11" s="483">
        <v>6</v>
      </c>
      <c r="Z11" s="505">
        <v>27917</v>
      </c>
      <c r="AA11" s="496">
        <f t="shared" si="1"/>
        <v>49.790554414784395</v>
      </c>
      <c r="AB11" s="509">
        <v>29006</v>
      </c>
      <c r="AC11" s="478">
        <f t="shared" si="2"/>
        <v>46.809034907597535</v>
      </c>
    </row>
    <row r="12" spans="1:36" ht="22.5" customHeight="1" thickBot="1" x14ac:dyDescent="0.3">
      <c r="G12" s="794" t="s">
        <v>141</v>
      </c>
      <c r="H12" s="795"/>
      <c r="I12" s="795"/>
      <c r="J12" s="795"/>
      <c r="K12" s="795"/>
      <c r="L12" s="795"/>
      <c r="M12" s="795"/>
      <c r="N12" s="795"/>
      <c r="O12" s="795"/>
      <c r="P12" s="795"/>
      <c r="Q12" s="795"/>
      <c r="R12" s="795"/>
      <c r="S12" s="795"/>
      <c r="T12" s="795"/>
      <c r="U12" s="795"/>
      <c r="V12" s="796"/>
      <c r="Y12" s="483">
        <v>7</v>
      </c>
      <c r="Z12" s="505">
        <v>30965</v>
      </c>
      <c r="AA12" s="496">
        <f t="shared" si="1"/>
        <v>41.445585215605746</v>
      </c>
      <c r="AB12" s="509">
        <v>21893</v>
      </c>
      <c r="AC12" s="478">
        <f t="shared" si="2"/>
        <v>66.283367556468178</v>
      </c>
    </row>
    <row r="13" spans="1:36" ht="36" customHeight="1" thickBot="1" x14ac:dyDescent="0.3">
      <c r="E13" s="453" t="str">
        <f>E1</f>
        <v>Listes</v>
      </c>
      <c r="F13" s="451" t="s">
        <v>142</v>
      </c>
      <c r="G13" s="454">
        <v>1</v>
      </c>
      <c r="H13" s="455">
        <v>2</v>
      </c>
      <c r="I13" s="455">
        <v>3</v>
      </c>
      <c r="J13" s="455">
        <v>4</v>
      </c>
      <c r="K13" s="455">
        <v>5</v>
      </c>
      <c r="L13" s="455">
        <v>6</v>
      </c>
      <c r="M13" s="455">
        <v>7</v>
      </c>
      <c r="N13" s="455">
        <v>8</v>
      </c>
      <c r="O13" s="455">
        <v>9</v>
      </c>
      <c r="P13" s="455">
        <v>10</v>
      </c>
      <c r="Q13" s="455">
        <v>11</v>
      </c>
      <c r="R13" s="455">
        <v>12</v>
      </c>
      <c r="S13" s="455">
        <v>13</v>
      </c>
      <c r="T13" s="455">
        <v>14</v>
      </c>
      <c r="U13" s="455">
        <v>15</v>
      </c>
      <c r="V13" s="456">
        <v>16</v>
      </c>
      <c r="Y13" s="483">
        <v>8</v>
      </c>
      <c r="Z13" s="505">
        <v>29172</v>
      </c>
      <c r="AA13" s="496">
        <f t="shared" si="1"/>
        <v>46.35455167693361</v>
      </c>
      <c r="AB13" s="509">
        <v>21564</v>
      </c>
      <c r="AC13" s="478">
        <f t="shared" si="2"/>
        <v>67.184120465434631</v>
      </c>
    </row>
    <row r="14" spans="1:36" ht="30" customHeight="1" x14ac:dyDescent="0.25">
      <c r="E14" s="445" t="str">
        <f>E2</f>
        <v>M. Pierre-Yves
TIERCE</v>
      </c>
      <c r="F14" s="459">
        <f ca="1">IF(H2,F2,0)</f>
        <v>2067</v>
      </c>
      <c r="G14" s="460">
        <f ca="1">$F14/G$13+($F14/1000000)</f>
        <v>2067.0020669999999</v>
      </c>
      <c r="H14" s="461">
        <f t="shared" ref="H14:V15" ca="1" si="3">$F14/H$13+($F14/1000000)</f>
        <v>1033.5020669999999</v>
      </c>
      <c r="I14" s="461">
        <f t="shared" ca="1" si="3"/>
        <v>689.00206700000001</v>
      </c>
      <c r="J14" s="461">
        <f t="shared" ca="1" si="3"/>
        <v>516.75206700000001</v>
      </c>
      <c r="K14" s="461">
        <f t="shared" ca="1" si="3"/>
        <v>413.40206699999999</v>
      </c>
      <c r="L14" s="461">
        <f t="shared" ca="1" si="3"/>
        <v>344.50206700000001</v>
      </c>
      <c r="M14" s="461">
        <f t="shared" ca="1" si="3"/>
        <v>295.28778128571429</v>
      </c>
      <c r="N14" s="461">
        <f t="shared" ca="1" si="3"/>
        <v>258.37706700000001</v>
      </c>
      <c r="O14" s="461">
        <f t="shared" ca="1" si="3"/>
        <v>229.66873366666667</v>
      </c>
      <c r="P14" s="461">
        <f t="shared" ca="1" si="3"/>
        <v>206.702067</v>
      </c>
      <c r="Q14" s="461">
        <f t="shared" ca="1" si="3"/>
        <v>187.91115790909092</v>
      </c>
      <c r="R14" s="461">
        <f t="shared" ca="1" si="3"/>
        <v>172.25206700000001</v>
      </c>
      <c r="S14" s="461">
        <f t="shared" ca="1" si="3"/>
        <v>159.00206700000001</v>
      </c>
      <c r="T14" s="461">
        <f t="shared" ca="1" si="3"/>
        <v>147.64492414285715</v>
      </c>
      <c r="U14" s="461">
        <f t="shared" ca="1" si="3"/>
        <v>137.80206700000002</v>
      </c>
      <c r="V14" s="462">
        <f t="shared" ca="1" si="3"/>
        <v>129.18956700000001</v>
      </c>
      <c r="Y14" s="483">
        <v>9</v>
      </c>
      <c r="Z14" s="505">
        <v>25064</v>
      </c>
      <c r="AA14" s="496">
        <f t="shared" si="1"/>
        <v>57.601642710472277</v>
      </c>
      <c r="AB14" s="509">
        <v>26383</v>
      </c>
      <c r="AC14" s="478">
        <f t="shared" si="2"/>
        <v>53.990417522245039</v>
      </c>
    </row>
    <row r="15" spans="1:36" ht="30.75" customHeight="1" thickBot="1" x14ac:dyDescent="0.3">
      <c r="E15" s="510" t="str">
        <f>E3</f>
        <v>Mme Isabelle
FARNET RISSO</v>
      </c>
      <c r="F15" s="511">
        <f ca="1">IF(H3,F3,0)</f>
        <v>2405</v>
      </c>
      <c r="G15" s="464">
        <f ca="1">$F15/G$13+($F15/1000000)</f>
        <v>2405.0024050000002</v>
      </c>
      <c r="H15" s="465">
        <f t="shared" ca="1" si="3"/>
        <v>1202.502405</v>
      </c>
      <c r="I15" s="465">
        <f t="shared" ca="1" si="3"/>
        <v>801.66907166666658</v>
      </c>
      <c r="J15" s="465">
        <f t="shared" ca="1" si="3"/>
        <v>601.25240499999995</v>
      </c>
      <c r="K15" s="465">
        <f t="shared" ca="1" si="3"/>
        <v>481.00240500000001</v>
      </c>
      <c r="L15" s="465">
        <f t="shared" ca="1" si="3"/>
        <v>400.83573833333332</v>
      </c>
      <c r="M15" s="465">
        <f t="shared" ca="1" si="3"/>
        <v>343.57383357142857</v>
      </c>
      <c r="N15" s="465">
        <f t="shared" ca="1" si="3"/>
        <v>300.62740500000001</v>
      </c>
      <c r="O15" s="465">
        <f t="shared" ca="1" si="3"/>
        <v>267.22462722222224</v>
      </c>
      <c r="P15" s="465">
        <f t="shared" ca="1" si="3"/>
        <v>240.50240500000001</v>
      </c>
      <c r="Q15" s="465">
        <f t="shared" ca="1" si="3"/>
        <v>218.63876863636364</v>
      </c>
      <c r="R15" s="465">
        <f t="shared" ca="1" si="3"/>
        <v>200.41907166666667</v>
      </c>
      <c r="S15" s="465">
        <f t="shared" ca="1" si="3"/>
        <v>185.00240500000001</v>
      </c>
      <c r="T15" s="465">
        <f t="shared" ca="1" si="3"/>
        <v>171.78811928571429</v>
      </c>
      <c r="U15" s="465">
        <f t="shared" ca="1" si="3"/>
        <v>160.33573833333335</v>
      </c>
      <c r="V15" s="466">
        <f t="shared" ca="1" si="3"/>
        <v>150.31490500000001</v>
      </c>
      <c r="Y15" s="483">
        <v>10</v>
      </c>
      <c r="Z15" s="505">
        <v>23878</v>
      </c>
      <c r="AA15" s="496">
        <f t="shared" si="1"/>
        <v>60.84873374401095</v>
      </c>
      <c r="AB15" s="509">
        <v>23029</v>
      </c>
      <c r="AC15" s="478">
        <f t="shared" si="2"/>
        <v>63.173169062286107</v>
      </c>
    </row>
    <row r="16" spans="1:36" ht="18" customHeight="1" thickBot="1" x14ac:dyDescent="0.3">
      <c r="E16" s="512" t="s">
        <v>51</v>
      </c>
      <c r="F16" s="513">
        <f ca="1">SUM(F14:F15)</f>
        <v>4472</v>
      </c>
      <c r="Y16" s="483">
        <v>11</v>
      </c>
      <c r="Z16" s="505">
        <v>19493</v>
      </c>
      <c r="AA16" s="496">
        <f t="shared" si="1"/>
        <v>72.854209445585212</v>
      </c>
      <c r="AB16" s="509">
        <v>27251</v>
      </c>
      <c r="AC16" s="478">
        <f t="shared" si="2"/>
        <v>51.613963039014372</v>
      </c>
    </row>
    <row r="17" spans="4:29" ht="13" thickBot="1" x14ac:dyDescent="0.3">
      <c r="E17" s="137"/>
      <c r="F17" s="140"/>
      <c r="Y17" s="483">
        <v>12</v>
      </c>
      <c r="Z17" s="505">
        <v>29849</v>
      </c>
      <c r="AA17" s="496">
        <f t="shared" si="1"/>
        <v>44.501026694045173</v>
      </c>
      <c r="AB17" s="509">
        <v>20579</v>
      </c>
      <c r="AC17" s="478">
        <f t="shared" si="2"/>
        <v>69.880903490759749</v>
      </c>
    </row>
    <row r="18" spans="4:29" ht="33.75" customHeight="1" thickBot="1" x14ac:dyDescent="0.3">
      <c r="E18" s="140"/>
      <c r="F18" s="450" t="s">
        <v>143</v>
      </c>
      <c r="G18" s="451" t="s">
        <v>144</v>
      </c>
      <c r="Y18" s="483">
        <v>13</v>
      </c>
      <c r="Z18" s="505">
        <v>25833</v>
      </c>
      <c r="AA18" s="496">
        <f t="shared" si="1"/>
        <v>55.496235455167692</v>
      </c>
      <c r="AB18" s="509">
        <v>21573</v>
      </c>
      <c r="AC18" s="478">
        <f t="shared" si="2"/>
        <v>67.15947980835044</v>
      </c>
    </row>
    <row r="19" spans="4:29" ht="18.75" customHeight="1" x14ac:dyDescent="0.25">
      <c r="D19" s="792" t="s">
        <v>145</v>
      </c>
      <c r="E19" s="457" t="s">
        <v>137</v>
      </c>
      <c r="F19" s="467">
        <f>IF($A$8&gt;4,ROUNDUP($A$8/2,0),ROUNDDOWN($A$8/2,0))</f>
        <v>17</v>
      </c>
      <c r="G19" s="468">
        <f ca="1">IF($F$16&gt;0,ROUNDDOWN($A$8/2,0),0)</f>
        <v>16</v>
      </c>
      <c r="Y19" s="483">
        <v>14</v>
      </c>
      <c r="Z19" s="505">
        <v>21329</v>
      </c>
      <c r="AA19" s="496">
        <f t="shared" si="1"/>
        <v>67.827515400410675</v>
      </c>
      <c r="AB19" s="509">
        <v>23296</v>
      </c>
      <c r="AC19" s="478">
        <f t="shared" si="2"/>
        <v>62.442162902121837</v>
      </c>
    </row>
    <row r="20" spans="4:29" ht="19.5" customHeight="1" thickBot="1" x14ac:dyDescent="0.3">
      <c r="D20" s="793"/>
      <c r="E20" s="458" t="s">
        <v>138</v>
      </c>
      <c r="F20" s="469">
        <f>IF($B$8&gt;4,ROUNDUP($B$8/2,0),ROUNDDOWN($B$8/2,0))</f>
        <v>5</v>
      </c>
      <c r="G20" s="470">
        <f ca="1">IF($F$16&gt;0,ROUNDDOWN($B$8/2,0),0)</f>
        <v>4</v>
      </c>
      <c r="Y20" s="483">
        <v>15</v>
      </c>
      <c r="Z20" s="505">
        <v>24656</v>
      </c>
      <c r="AA20" s="496">
        <f t="shared" si="1"/>
        <v>58.718685831622174</v>
      </c>
      <c r="AB20" s="509">
        <v>22464</v>
      </c>
      <c r="AC20" s="478">
        <f t="shared" si="2"/>
        <v>64.720054757015745</v>
      </c>
    </row>
    <row r="21" spans="4:29" x14ac:dyDescent="0.25">
      <c r="Y21" s="483">
        <v>16</v>
      </c>
      <c r="Z21" s="505">
        <v>32199</v>
      </c>
      <c r="AA21" s="496">
        <f t="shared" si="1"/>
        <v>38.067077344284733</v>
      </c>
      <c r="AB21" s="509">
        <v>25147</v>
      </c>
      <c r="AC21" s="478">
        <f t="shared" si="2"/>
        <v>57.374401095140314</v>
      </c>
    </row>
    <row r="22" spans="4:29" ht="32.25" customHeight="1" x14ac:dyDescent="0.25">
      <c r="Y22" s="483">
        <v>17</v>
      </c>
      <c r="Z22" s="505">
        <v>31357</v>
      </c>
      <c r="AA22" s="496">
        <f t="shared" si="1"/>
        <v>40.372347707049968</v>
      </c>
      <c r="AB22" s="509">
        <v>26398</v>
      </c>
      <c r="AC22" s="478">
        <f t="shared" si="2"/>
        <v>53.949349760438054</v>
      </c>
    </row>
    <row r="23" spans="4:29" ht="16.5" customHeight="1" x14ac:dyDescent="0.25">
      <c r="Y23" s="483">
        <v>18</v>
      </c>
      <c r="Z23" s="505">
        <v>24538</v>
      </c>
      <c r="AA23" s="496">
        <f t="shared" si="1"/>
        <v>59.041752224503767</v>
      </c>
      <c r="AB23" s="509">
        <v>21603</v>
      </c>
      <c r="AC23" s="478">
        <f t="shared" si="2"/>
        <v>67.077344284736483</v>
      </c>
    </row>
    <row r="24" spans="4:29" ht="16.5" customHeight="1" x14ac:dyDescent="0.25">
      <c r="Y24" s="483">
        <v>19</v>
      </c>
      <c r="Z24" s="505">
        <v>27980</v>
      </c>
      <c r="AA24" s="496">
        <f t="shared" si="1"/>
        <v>49.618069815195071</v>
      </c>
      <c r="AB24" s="509">
        <v>24039</v>
      </c>
      <c r="AC24" s="478">
        <f t="shared" si="2"/>
        <v>60.407939767282684</v>
      </c>
    </row>
    <row r="25" spans="4:29" ht="16.5" customHeight="1" x14ac:dyDescent="0.25">
      <c r="Y25" s="483">
        <v>20</v>
      </c>
      <c r="Z25" s="505">
        <v>36875</v>
      </c>
      <c r="AA25" s="496">
        <f t="shared" si="1"/>
        <v>25.264887063655031</v>
      </c>
      <c r="AB25" s="509">
        <v>23115</v>
      </c>
      <c r="AC25" s="478">
        <f t="shared" si="2"/>
        <v>62.937713894592747</v>
      </c>
    </row>
    <row r="26" spans="4:29" ht="16.5" customHeight="1" x14ac:dyDescent="0.25">
      <c r="Y26" s="483">
        <v>21</v>
      </c>
      <c r="Z26" s="505">
        <v>20656</v>
      </c>
      <c r="AA26" s="496">
        <f t="shared" si="1"/>
        <v>69.670088980150581</v>
      </c>
      <c r="AB26" s="509">
        <v>24909</v>
      </c>
      <c r="AC26" s="478">
        <f t="shared" si="2"/>
        <v>58.026009582477755</v>
      </c>
    </row>
    <row r="27" spans="4:29" ht="16.5" customHeight="1" x14ac:dyDescent="0.25">
      <c r="Y27" s="483">
        <v>22</v>
      </c>
      <c r="Z27" s="505">
        <v>32488</v>
      </c>
      <c r="AA27" s="496">
        <f t="shared" si="1"/>
        <v>37.275838466803556</v>
      </c>
      <c r="AB27" s="509">
        <v>27867</v>
      </c>
      <c r="AC27" s="478">
        <f t="shared" si="2"/>
        <v>49.927446954140997</v>
      </c>
    </row>
    <row r="28" spans="4:29" ht="16.5" customHeight="1" x14ac:dyDescent="0.25">
      <c r="Y28" s="483">
        <v>23</v>
      </c>
      <c r="Z28" s="505">
        <v>32156</v>
      </c>
      <c r="AA28" s="496">
        <f t="shared" si="1"/>
        <v>38.18480492813142</v>
      </c>
      <c r="AB28" s="509">
        <v>28828</v>
      </c>
      <c r="AC28" s="478">
        <f t="shared" si="2"/>
        <v>47.296372347707049</v>
      </c>
    </row>
    <row r="29" spans="4:29" ht="16.5" customHeight="1" x14ac:dyDescent="0.25">
      <c r="Y29" s="483">
        <v>24</v>
      </c>
      <c r="Z29" s="505">
        <v>22043</v>
      </c>
      <c r="AA29" s="496">
        <f t="shared" si="1"/>
        <v>65.872689938398352</v>
      </c>
      <c r="AB29" s="509">
        <v>18791</v>
      </c>
      <c r="AC29" s="478">
        <f t="shared" si="2"/>
        <v>74.776180698151947</v>
      </c>
    </row>
    <row r="30" spans="4:29" ht="16.5" customHeight="1" x14ac:dyDescent="0.25">
      <c r="Y30" s="483">
        <v>25</v>
      </c>
      <c r="Z30" s="505">
        <v>29659</v>
      </c>
      <c r="AA30" s="496">
        <f t="shared" si="1"/>
        <v>45.021218343600275</v>
      </c>
      <c r="AB30" s="509">
        <v>26761</v>
      </c>
      <c r="AC30" s="478">
        <f t="shared" si="2"/>
        <v>52.955509924709105</v>
      </c>
    </row>
    <row r="31" spans="4:29" ht="16.5" customHeight="1" x14ac:dyDescent="0.25">
      <c r="Y31" s="483">
        <v>26</v>
      </c>
      <c r="Z31" s="505">
        <v>25961</v>
      </c>
      <c r="AA31" s="496">
        <f t="shared" si="1"/>
        <v>55.145790554414788</v>
      </c>
      <c r="AB31" s="509">
        <v>21472</v>
      </c>
      <c r="AC31" s="478">
        <f t="shared" si="2"/>
        <v>67.436002737850785</v>
      </c>
    </row>
    <row r="32" spans="4:29" ht="16.5" customHeight="1" x14ac:dyDescent="0.25">
      <c r="Y32" s="483">
        <v>27</v>
      </c>
      <c r="Z32" s="505">
        <v>22189</v>
      </c>
      <c r="AA32" s="496">
        <f t="shared" si="1"/>
        <v>65.472963723477065</v>
      </c>
      <c r="AB32" s="509">
        <v>22088</v>
      </c>
      <c r="AC32" s="478">
        <f t="shared" si="2"/>
        <v>65.74948665297741</v>
      </c>
    </row>
    <row r="33" spans="25:29" ht="16.5" customHeight="1" x14ac:dyDescent="0.25">
      <c r="Y33" s="483">
        <v>28</v>
      </c>
      <c r="Z33" s="505">
        <v>36559</v>
      </c>
      <c r="AA33" s="496">
        <f t="shared" si="1"/>
        <v>26.130047912388775</v>
      </c>
      <c r="AB33" s="509">
        <v>31061</v>
      </c>
      <c r="AC33" s="478">
        <f t="shared" si="2"/>
        <v>41.182751540041068</v>
      </c>
    </row>
    <row r="34" spans="25:29" ht="16.5" customHeight="1" x14ac:dyDescent="0.25">
      <c r="Y34" s="483">
        <v>29</v>
      </c>
      <c r="Z34" s="505">
        <v>19229</v>
      </c>
      <c r="AA34" s="496">
        <f t="shared" si="1"/>
        <v>73.577002053388085</v>
      </c>
      <c r="AB34" s="509">
        <v>29257</v>
      </c>
      <c r="AC34" s="478">
        <f t="shared" si="2"/>
        <v>46.121834360027378</v>
      </c>
    </row>
    <row r="35" spans="25:29" ht="16.5" customHeight="1" x14ac:dyDescent="0.25">
      <c r="Y35" s="483">
        <v>30</v>
      </c>
      <c r="Z35" s="505">
        <v>33876</v>
      </c>
      <c r="AA35" s="496">
        <f t="shared" si="1"/>
        <v>33.4757015742642</v>
      </c>
      <c r="AB35" s="509">
        <v>21583</v>
      </c>
      <c r="AC35" s="478">
        <f t="shared" si="2"/>
        <v>67.132101300479121</v>
      </c>
    </row>
    <row r="36" spans="25:29" ht="16.5" customHeight="1" x14ac:dyDescent="0.25">
      <c r="Y36" s="483">
        <v>31</v>
      </c>
      <c r="Z36" s="505">
        <v>31378</v>
      </c>
      <c r="AA36" s="496">
        <f t="shared" si="1"/>
        <v>40.314852840520189</v>
      </c>
      <c r="AB36" s="509">
        <v>23235</v>
      </c>
      <c r="AC36" s="478">
        <f t="shared" si="2"/>
        <v>62.609171800136892</v>
      </c>
    </row>
    <row r="37" spans="25:29" ht="16.5" customHeight="1" x14ac:dyDescent="0.25">
      <c r="Y37" s="483">
        <v>32</v>
      </c>
      <c r="Z37" s="505">
        <v>29167</v>
      </c>
      <c r="AA37" s="496">
        <f t="shared" si="1"/>
        <v>46.36824093086927</v>
      </c>
      <c r="AB37" s="509">
        <v>35295</v>
      </c>
      <c r="AC37" s="496">
        <f t="shared" si="2"/>
        <v>29.590691307323752</v>
      </c>
    </row>
    <row r="38" spans="25:29" ht="16.5" customHeight="1" x14ac:dyDescent="0.25">
      <c r="Y38" s="497">
        <v>33</v>
      </c>
      <c r="Z38" s="507">
        <v>17427</v>
      </c>
      <c r="AA38" s="496">
        <f t="shared" si="1"/>
        <v>78.510609171800141</v>
      </c>
      <c r="AB38" s="648">
        <v>38950</v>
      </c>
      <c r="AC38" s="478">
        <f t="shared" si="2"/>
        <v>19.583846680355922</v>
      </c>
    </row>
    <row r="39" spans="25:29" ht="16.5" customHeight="1" x14ac:dyDescent="0.25">
      <c r="Y39" s="483">
        <v>34</v>
      </c>
      <c r="Z39" s="505">
        <v>31522</v>
      </c>
      <c r="AA39" s="496">
        <f t="shared" si="1"/>
        <v>39.920602327173171</v>
      </c>
      <c r="AB39" s="509">
        <v>34645</v>
      </c>
      <c r="AC39" s="496">
        <f t="shared" si="2"/>
        <v>31.370294318959616</v>
      </c>
    </row>
    <row r="40" spans="25:29" ht="16.5" customHeight="1" thickBot="1" x14ac:dyDescent="0.3">
      <c r="Y40" s="484">
        <v>35</v>
      </c>
      <c r="Z40" s="508">
        <v>19305</v>
      </c>
      <c r="AA40" s="466">
        <f t="shared" si="1"/>
        <v>73.368925393566045</v>
      </c>
      <c r="AB40" s="649">
        <v>21767</v>
      </c>
      <c r="AC40" s="466">
        <f t="shared" si="2"/>
        <v>66.628336755646814</v>
      </c>
    </row>
  </sheetData>
  <mergeCells count="12">
    <mergeCell ref="A6:B6"/>
    <mergeCell ref="Y1:AA1"/>
    <mergeCell ref="M6:N7"/>
    <mergeCell ref="F7:F8"/>
    <mergeCell ref="G7:G8"/>
    <mergeCell ref="AB3:AC4"/>
    <mergeCell ref="Z3:AA4"/>
    <mergeCell ref="D19:D20"/>
    <mergeCell ref="G12:V12"/>
    <mergeCell ref="F9:I9"/>
    <mergeCell ref="D6:D8"/>
    <mergeCell ref="E6:E8"/>
  </mergeCells>
  <conditionalFormatting sqref="E9">
    <cfRule type="expression" dxfId="14" priority="6">
      <formula>$E$9</formula>
    </cfRule>
  </conditionalFormatting>
  <conditionalFormatting sqref="G2:G3">
    <cfRule type="cellIs" dxfId="13" priority="12" operator="lessThan">
      <formula>0.05</formula>
    </cfRule>
    <cfRule type="cellIs" dxfId="12" priority="13" operator="notBetween">
      <formula>0</formula>
      <formula>1</formula>
    </cfRule>
  </conditionalFormatting>
  <conditionalFormatting sqref="H2:H3">
    <cfRule type="cellIs" dxfId="11" priority="11" operator="equal">
      <formula>FALSE</formula>
    </cfRule>
  </conditionalFormatting>
  <conditionalFormatting sqref="I4">
    <cfRule type="cellIs" dxfId="10" priority="5" operator="equal">
      <formula>$F$19</formula>
    </cfRule>
  </conditionalFormatting>
  <conditionalFormatting sqref="I4:O4">
    <cfRule type="cellIs" dxfId="9" priority="1" operator="equal">
      <formula>0</formula>
    </cfRule>
  </conditionalFormatting>
  <conditionalFormatting sqref="J4">
    <cfRule type="cellIs" dxfId="8" priority="4" operator="equal">
      <formula>$F$20</formula>
    </cfRule>
  </conditionalFormatting>
  <conditionalFormatting sqref="K4">
    <cfRule type="cellIs" dxfId="7" priority="3" operator="equal">
      <formula>$G$19</formula>
    </cfRule>
  </conditionalFormatting>
  <conditionalFormatting sqref="L4">
    <cfRule type="cellIs" dxfId="6" priority="2" operator="equal">
      <formula>$G$20</formula>
    </cfRule>
  </conditionalFormatting>
  <conditionalFormatting sqref="M2:M3">
    <cfRule type="colorScale" priority="710">
      <colorScale>
        <cfvo type="min"/>
        <cfvo type="max"/>
        <color theme="6" tint="0.59999389629810485"/>
        <color theme="8" tint="0.59999389629810485"/>
      </colorScale>
    </cfRule>
  </conditionalFormatting>
  <conditionalFormatting sqref="N4:O4">
    <cfRule type="cellIs" dxfId="5" priority="711" operator="equal">
      <formula>A$8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F433-48E5-4BF9-BDC4-A966BB467084}">
  <sheetPr codeName="Feuil4">
    <tabColor theme="7" tint="0.79998168889431442"/>
    <pageSetUpPr fitToPage="1"/>
  </sheetPr>
  <dimension ref="A1:H80"/>
  <sheetViews>
    <sheetView zoomScale="60" zoomScaleNormal="60" workbookViewId="0"/>
  </sheetViews>
  <sheetFormatPr baseColWidth="10" defaultColWidth="11.453125" defaultRowHeight="12.5" x14ac:dyDescent="0.25"/>
  <cols>
    <col min="1" max="1" width="16" style="235" customWidth="1"/>
    <col min="2" max="5" width="55" style="235" customWidth="1"/>
    <col min="6" max="6" width="44.54296875" style="235" customWidth="1"/>
    <col min="7" max="7" width="11.453125" style="235" customWidth="1"/>
    <col min="8" max="8" width="99.1796875" style="235" customWidth="1"/>
    <col min="9" max="9" width="10.453125" style="235" customWidth="1"/>
    <col min="10" max="10" width="15.453125" style="235" customWidth="1"/>
    <col min="11" max="11" width="16.1796875" style="235" customWidth="1"/>
    <col min="12" max="12" width="12" style="235" customWidth="1"/>
    <col min="13" max="13" width="30.1796875" style="235" customWidth="1"/>
    <col min="14" max="14" width="13.26953125" style="235" customWidth="1"/>
    <col min="15" max="15" width="14.453125" style="235" customWidth="1"/>
    <col min="16" max="16384" width="11.453125" style="235"/>
  </cols>
  <sheetData>
    <row r="1" spans="1:6" ht="60" x14ac:dyDescent="0.25">
      <c r="B1" s="836" t="s">
        <v>146</v>
      </c>
      <c r="C1" s="836"/>
      <c r="D1" s="836"/>
      <c r="E1" s="836"/>
    </row>
    <row r="2" spans="1:6" ht="24" customHeight="1" x14ac:dyDescent="0.25"/>
    <row r="3" spans="1:6" ht="45" x14ac:dyDescent="0.25">
      <c r="B3" s="377" t="s">
        <v>147</v>
      </c>
      <c r="C3" s="267"/>
      <c r="D3" s="837" t="s">
        <v>148</v>
      </c>
      <c r="E3" s="837"/>
    </row>
    <row r="4" spans="1:6" ht="30.75" customHeight="1" thickBot="1" x14ac:dyDescent="0.3"/>
    <row r="5" spans="1:6" ht="45" customHeight="1" thickBot="1" x14ac:dyDescent="0.3">
      <c r="A5" s="266"/>
      <c r="B5" s="819" t="s">
        <v>149</v>
      </c>
      <c r="C5" s="820"/>
      <c r="D5" s="820"/>
      <c r="E5" s="821"/>
      <c r="F5" s="533" t="s">
        <v>0</v>
      </c>
    </row>
    <row r="6" spans="1:6" ht="68.25" customHeight="1" thickBot="1" x14ac:dyDescent="0.3">
      <c r="A6" s="532" t="s">
        <v>98</v>
      </c>
      <c r="B6" s="530" t="str">
        <f>Synthèse!L2</f>
        <v>M. Pierre-Yves
TIERCE</v>
      </c>
      <c r="C6" s="531" t="str">
        <f>Synthèse!M2</f>
        <v>Mme Isabelle
FARNET RISSO</v>
      </c>
      <c r="D6" s="540" t="str">
        <f>Synthèse!G2</f>
        <v>Nuls</v>
      </c>
      <c r="E6" s="541" t="str">
        <f>Synthèse!H2</f>
        <v>Blancs</v>
      </c>
      <c r="F6" s="536" t="s">
        <v>99</v>
      </c>
    </row>
    <row r="7" spans="1:6" ht="81" customHeight="1" thickBot="1" x14ac:dyDescent="0.3">
      <c r="A7" s="262"/>
      <c r="B7" s="242"/>
      <c r="C7" s="242"/>
      <c r="D7" s="241"/>
      <c r="E7" s="240"/>
      <c r="F7" s="542" t="s">
        <v>150</v>
      </c>
    </row>
    <row r="8" spans="1:6" ht="65.150000000000006" customHeight="1" x14ac:dyDescent="0.25">
      <c r="A8" s="822"/>
      <c r="B8" s="356" t="s">
        <v>151</v>
      </c>
      <c r="C8" s="357" t="s">
        <v>151</v>
      </c>
      <c r="D8" s="358" t="s">
        <v>151</v>
      </c>
      <c r="E8" s="359" t="s">
        <v>151</v>
      </c>
      <c r="F8" s="543" t="s">
        <v>150</v>
      </c>
    </row>
    <row r="9" spans="1:6" ht="65.150000000000006" customHeight="1" thickBot="1" x14ac:dyDescent="0.3">
      <c r="A9" s="822"/>
      <c r="B9" s="360"/>
      <c r="C9" s="361"/>
      <c r="D9" s="360"/>
      <c r="E9" s="362"/>
      <c r="F9" s="544" t="s">
        <v>152</v>
      </c>
    </row>
    <row r="10" spans="1:6" ht="65.150000000000006" customHeight="1" x14ac:dyDescent="0.25">
      <c r="A10" s="823"/>
      <c r="B10" s="356" t="s">
        <v>151</v>
      </c>
      <c r="C10" s="357" t="s">
        <v>151</v>
      </c>
      <c r="D10" s="358" t="s">
        <v>151</v>
      </c>
      <c r="E10" s="359" t="s">
        <v>151</v>
      </c>
      <c r="F10" s="545" t="s">
        <v>150</v>
      </c>
    </row>
    <row r="11" spans="1:6" ht="65.150000000000006" customHeight="1" thickBot="1" x14ac:dyDescent="0.3">
      <c r="A11" s="824"/>
      <c r="B11" s="363"/>
      <c r="C11" s="364"/>
      <c r="D11" s="363"/>
      <c r="E11" s="365"/>
      <c r="F11" s="544" t="s">
        <v>153</v>
      </c>
    </row>
    <row r="12" spans="1:6" ht="65.150000000000006" customHeight="1" x14ac:dyDescent="0.25">
      <c r="A12" s="822" t="s">
        <v>100</v>
      </c>
      <c r="B12" s="356" t="s">
        <v>151</v>
      </c>
      <c r="C12" s="357" t="s">
        <v>151</v>
      </c>
      <c r="D12" s="358" t="s">
        <v>151</v>
      </c>
      <c r="E12" s="359" t="s">
        <v>151</v>
      </c>
      <c r="F12" s="545" t="s">
        <v>150</v>
      </c>
    </row>
    <row r="13" spans="1:6" ht="65.150000000000006" customHeight="1" thickBot="1" x14ac:dyDescent="0.3">
      <c r="A13" s="822"/>
      <c r="B13" s="360"/>
      <c r="C13" s="361"/>
      <c r="D13" s="360"/>
      <c r="E13" s="362"/>
      <c r="F13" s="546" t="s">
        <v>154</v>
      </c>
    </row>
    <row r="14" spans="1:6" ht="65.150000000000006" customHeight="1" x14ac:dyDescent="0.25">
      <c r="A14" s="823" t="s">
        <v>100</v>
      </c>
      <c r="B14" s="356" t="s">
        <v>151</v>
      </c>
      <c r="C14" s="357" t="s">
        <v>151</v>
      </c>
      <c r="D14" s="358" t="s">
        <v>151</v>
      </c>
      <c r="E14" s="359" t="s">
        <v>151</v>
      </c>
      <c r="F14" s="543" t="s">
        <v>150</v>
      </c>
    </row>
    <row r="15" spans="1:6" ht="65.150000000000006" customHeight="1" thickBot="1" x14ac:dyDescent="0.3">
      <c r="A15" s="824"/>
      <c r="B15" s="363"/>
      <c r="C15" s="364"/>
      <c r="D15" s="363"/>
      <c r="E15" s="365"/>
      <c r="F15" s="544" t="s">
        <v>155</v>
      </c>
    </row>
    <row r="16" spans="1:6" ht="20.149999999999999" customHeight="1" x14ac:dyDescent="0.25"/>
    <row r="17" spans="1:6" ht="40" customHeight="1" x14ac:dyDescent="0.25">
      <c r="B17" s="825" t="s">
        <v>156</v>
      </c>
      <c r="C17" s="827" t="s">
        <v>157</v>
      </c>
      <c r="D17" s="828"/>
      <c r="E17" s="828"/>
      <c r="F17" s="829"/>
    </row>
    <row r="18" spans="1:6" ht="40" customHeight="1" x14ac:dyDescent="0.25">
      <c r="B18" s="826"/>
      <c r="C18" s="830" t="s">
        <v>158</v>
      </c>
      <c r="D18" s="831"/>
      <c r="E18" s="831"/>
      <c r="F18" s="832"/>
    </row>
    <row r="19" spans="1:6" ht="40" customHeight="1" x14ac:dyDescent="0.25">
      <c r="B19" s="838" t="s">
        <v>159</v>
      </c>
      <c r="C19" s="833" t="s">
        <v>160</v>
      </c>
      <c r="D19" s="834"/>
      <c r="E19" s="834"/>
      <c r="F19" s="835"/>
    </row>
    <row r="20" spans="1:6" ht="40" customHeight="1" x14ac:dyDescent="0.25">
      <c r="B20" s="838"/>
      <c r="C20" s="839" t="s">
        <v>161</v>
      </c>
      <c r="D20" s="840"/>
      <c r="E20" s="840"/>
      <c r="F20" s="841"/>
    </row>
    <row r="21" spans="1:6" ht="18" customHeight="1" x14ac:dyDescent="0.25"/>
    <row r="22" spans="1:6" ht="26.25" customHeight="1" thickBot="1" x14ac:dyDescent="0.3"/>
    <row r="23" spans="1:6" ht="36.75" customHeight="1" thickBot="1" x14ac:dyDescent="0.3">
      <c r="A23" s="266"/>
      <c r="B23" s="819" t="s">
        <v>162</v>
      </c>
      <c r="C23" s="820"/>
      <c r="D23" s="820"/>
      <c r="E23" s="821"/>
      <c r="F23" s="534" t="s">
        <v>0</v>
      </c>
    </row>
    <row r="24" spans="1:6" ht="72.75" customHeight="1" thickBot="1" x14ac:dyDescent="0.3">
      <c r="A24" s="532" t="s">
        <v>98</v>
      </c>
      <c r="B24" s="530" t="str">
        <f>Synthèse!L2</f>
        <v>M. Pierre-Yves
TIERCE</v>
      </c>
      <c r="C24" s="531" t="str">
        <f>Synthèse!M2</f>
        <v>Mme Isabelle
FARNET RISSO</v>
      </c>
      <c r="D24" s="540" t="str">
        <f>Synthèse!G2</f>
        <v>Nuls</v>
      </c>
      <c r="E24" s="541" t="str">
        <f>Synthèse!H2</f>
        <v>Blancs</v>
      </c>
      <c r="F24" s="535" t="s">
        <v>99</v>
      </c>
    </row>
    <row r="25" spans="1:6" ht="77.25" customHeight="1" x14ac:dyDescent="0.25">
      <c r="A25" s="264"/>
      <c r="B25" s="253"/>
      <c r="C25" s="239"/>
      <c r="D25" s="238"/>
      <c r="E25" s="393"/>
      <c r="F25" s="547" t="s">
        <v>150</v>
      </c>
    </row>
    <row r="26" spans="1:6" ht="77.25" customHeight="1" x14ac:dyDescent="0.25">
      <c r="A26" s="265"/>
      <c r="B26" s="263"/>
      <c r="C26" s="260"/>
      <c r="D26" s="261"/>
      <c r="E26" s="394"/>
      <c r="F26" s="548" t="s">
        <v>150</v>
      </c>
    </row>
    <row r="27" spans="1:6" ht="77.25" customHeight="1" x14ac:dyDescent="0.25">
      <c r="A27" s="265" t="s">
        <v>100</v>
      </c>
      <c r="B27" s="263"/>
      <c r="C27" s="260"/>
      <c r="D27" s="261"/>
      <c r="E27" s="394"/>
      <c r="F27" s="548" t="s">
        <v>150</v>
      </c>
    </row>
    <row r="28" spans="1:6" ht="77.25" customHeight="1" x14ac:dyDescent="0.25">
      <c r="A28" s="265" t="s">
        <v>100</v>
      </c>
      <c r="B28" s="263"/>
      <c r="C28" s="260"/>
      <c r="D28" s="261"/>
      <c r="E28" s="394"/>
      <c r="F28" s="549" t="s">
        <v>150</v>
      </c>
    </row>
    <row r="29" spans="1:6" ht="77.25" customHeight="1" thickBot="1" x14ac:dyDescent="0.3">
      <c r="A29" s="373" t="s">
        <v>100</v>
      </c>
      <c r="B29" s="374"/>
      <c r="C29" s="375"/>
      <c r="D29" s="376"/>
      <c r="E29" s="395"/>
      <c r="F29" s="550" t="s">
        <v>150</v>
      </c>
    </row>
    <row r="31" spans="1:6" ht="13" thickBot="1" x14ac:dyDescent="0.3"/>
    <row r="32" spans="1:6" ht="28.5" customHeight="1" x14ac:dyDescent="0.25">
      <c r="A32" s="520" t="str">
        <f>Synthèse!$A$17</f>
        <v>Date</v>
      </c>
      <c r="B32" s="521">
        <f>Synthèse!$B$17</f>
        <v>46103</v>
      </c>
    </row>
    <row r="33" spans="1:7" ht="28.5" customHeight="1" x14ac:dyDescent="0.25">
      <c r="A33" s="522" t="str">
        <f>Synthèse!$A$18</f>
        <v>Election</v>
      </c>
      <c r="B33" s="523" t="str">
        <f>Synthèse!$B$18</f>
        <v>Municipale</v>
      </c>
    </row>
    <row r="34" spans="1:7" ht="28.5" customHeight="1" x14ac:dyDescent="0.25">
      <c r="A34" s="524" t="str">
        <f>Synthèse!$A$19</f>
        <v>Tour</v>
      </c>
      <c r="B34" s="525">
        <f>Synthèse!$B$19</f>
        <v>2</v>
      </c>
    </row>
    <row r="35" spans="1:7" ht="36.75" customHeight="1" thickBot="1" x14ac:dyDescent="0.3">
      <c r="A35" s="526" t="str">
        <f>Synthèse!$A$20</f>
        <v>Ville</v>
      </c>
      <c r="B35" s="527" t="str">
        <f>Synthèse!$B$20</f>
        <v>Cogolin</v>
      </c>
    </row>
    <row r="37" spans="1:7" ht="13" thickBot="1" x14ac:dyDescent="0.3">
      <c r="A37" s="396"/>
      <c r="B37" s="396"/>
      <c r="C37" s="396"/>
      <c r="D37" s="396"/>
      <c r="E37" s="396"/>
      <c r="F37" s="396"/>
      <c r="G37" s="396"/>
    </row>
    <row r="39" spans="1:7" ht="13" thickBot="1" x14ac:dyDescent="0.3"/>
    <row r="40" spans="1:7" ht="36.75" customHeight="1" thickBot="1" x14ac:dyDescent="0.3">
      <c r="A40" s="266"/>
      <c r="B40" s="814" t="s">
        <v>163</v>
      </c>
      <c r="C40" s="815"/>
      <c r="D40" s="815"/>
      <c r="E40" s="816"/>
      <c r="F40" s="369" t="s">
        <v>0</v>
      </c>
    </row>
    <row r="41" spans="1:7" ht="24" thickBot="1" x14ac:dyDescent="0.3">
      <c r="A41" s="368" t="s">
        <v>98</v>
      </c>
      <c r="B41" s="422" t="s">
        <v>164</v>
      </c>
      <c r="C41" s="366" t="s">
        <v>165</v>
      </c>
      <c r="D41" s="352" t="s">
        <v>8</v>
      </c>
      <c r="E41" s="353" t="s">
        <v>7</v>
      </c>
      <c r="F41" s="370" t="s">
        <v>99</v>
      </c>
    </row>
    <row r="42" spans="1:7" ht="46.5" customHeight="1" thickBot="1" x14ac:dyDescent="0.3">
      <c r="A42" s="401">
        <v>1</v>
      </c>
      <c r="B42" s="402">
        <v>55</v>
      </c>
      <c r="C42" s="402">
        <v>40</v>
      </c>
      <c r="D42" s="403">
        <v>4</v>
      </c>
      <c r="E42" s="404">
        <v>1</v>
      </c>
      <c r="F42" s="397" t="s">
        <v>166</v>
      </c>
    </row>
    <row r="43" spans="1:7" ht="46.5" customHeight="1" x14ac:dyDescent="0.25">
      <c r="A43" s="817">
        <v>3</v>
      </c>
      <c r="B43" s="405" t="s">
        <v>167</v>
      </c>
      <c r="C43" s="406" t="s">
        <v>168</v>
      </c>
      <c r="D43" s="407" t="s">
        <v>169</v>
      </c>
      <c r="E43" s="408" t="s">
        <v>170</v>
      </c>
      <c r="F43" s="399" t="s">
        <v>166</v>
      </c>
    </row>
    <row r="44" spans="1:7" ht="46.5" customHeight="1" thickBot="1" x14ac:dyDescent="0.3">
      <c r="A44" s="818"/>
      <c r="B44" s="409">
        <v>105</v>
      </c>
      <c r="C44" s="410">
        <v>84</v>
      </c>
      <c r="D44" s="409">
        <v>9</v>
      </c>
      <c r="E44" s="411">
        <v>2</v>
      </c>
      <c r="F44" s="398" t="s">
        <v>171</v>
      </c>
    </row>
    <row r="47" spans="1:7" ht="15" customHeight="1" thickBot="1" x14ac:dyDescent="0.3"/>
    <row r="48" spans="1:7" ht="42.75" customHeight="1" thickBot="1" x14ac:dyDescent="0.3">
      <c r="A48" s="266"/>
      <c r="B48" s="819" t="s">
        <v>172</v>
      </c>
      <c r="C48" s="820"/>
      <c r="D48" s="820"/>
      <c r="E48" s="821"/>
      <c r="F48" s="371" t="s">
        <v>0</v>
      </c>
    </row>
    <row r="49" spans="1:6" ht="42.75" customHeight="1" thickBot="1" x14ac:dyDescent="0.3">
      <c r="A49" s="367" t="s">
        <v>98</v>
      </c>
      <c r="B49" s="422" t="s">
        <v>164</v>
      </c>
      <c r="C49" s="366" t="s">
        <v>165</v>
      </c>
      <c r="D49" s="354" t="s">
        <v>8</v>
      </c>
      <c r="E49" s="355" t="s">
        <v>7</v>
      </c>
      <c r="F49" s="372" t="s">
        <v>99</v>
      </c>
    </row>
    <row r="50" spans="1:6" ht="45.75" customHeight="1" x14ac:dyDescent="0.25">
      <c r="A50" s="412">
        <v>1</v>
      </c>
      <c r="B50" s="413">
        <v>55</v>
      </c>
      <c r="C50" s="406">
        <v>40</v>
      </c>
      <c r="D50" s="407">
        <v>4</v>
      </c>
      <c r="E50" s="414">
        <v>1</v>
      </c>
      <c r="F50" s="399" t="s">
        <v>166</v>
      </c>
    </row>
    <row r="51" spans="1:6" ht="45.75" customHeight="1" thickBot="1" x14ac:dyDescent="0.3">
      <c r="A51" s="415">
        <v>3</v>
      </c>
      <c r="B51" s="416">
        <v>50</v>
      </c>
      <c r="C51" s="417">
        <v>44</v>
      </c>
      <c r="D51" s="418">
        <v>5</v>
      </c>
      <c r="E51" s="419">
        <v>1</v>
      </c>
      <c r="F51" s="400" t="s">
        <v>166</v>
      </c>
    </row>
    <row r="52" spans="1:6" ht="15" customHeight="1" x14ac:dyDescent="0.25">
      <c r="B52" s="237"/>
      <c r="C52" s="237"/>
    </row>
    <row r="53" spans="1:6" ht="15" customHeight="1" x14ac:dyDescent="0.25">
      <c r="B53" s="237"/>
      <c r="C53" s="237"/>
    </row>
    <row r="54" spans="1:6" ht="15" customHeight="1" x14ac:dyDescent="0.25">
      <c r="B54" s="237"/>
      <c r="C54" s="237"/>
    </row>
    <row r="55" spans="1:6" ht="15" customHeight="1" x14ac:dyDescent="0.25">
      <c r="B55" s="237"/>
      <c r="C55" s="237"/>
    </row>
    <row r="56" spans="1:6" ht="15" customHeight="1" x14ac:dyDescent="0.25">
      <c r="B56" s="237"/>
      <c r="C56" s="237"/>
    </row>
    <row r="57" spans="1:6" ht="15" customHeight="1" x14ac:dyDescent="0.25">
      <c r="B57" s="237"/>
      <c r="C57" s="237"/>
    </row>
    <row r="58" spans="1:6" ht="15" customHeight="1" x14ac:dyDescent="0.25"/>
    <row r="59" spans="1:6" ht="15" customHeight="1" x14ac:dyDescent="0.25"/>
    <row r="60" spans="1:6" ht="15" customHeight="1" x14ac:dyDescent="0.25"/>
    <row r="61" spans="1:6" ht="15" customHeight="1" x14ac:dyDescent="0.25"/>
    <row r="62" spans="1:6" ht="15" customHeight="1" x14ac:dyDescent="0.25"/>
    <row r="63" spans="1:6" ht="15" customHeight="1" x14ac:dyDescent="0.25"/>
    <row r="64" spans="1:6" ht="15" customHeight="1" x14ac:dyDescent="0.25"/>
    <row r="65" spans="4:8" ht="15" customHeight="1" x14ac:dyDescent="0.25"/>
    <row r="66" spans="4:8" ht="15" customHeight="1" x14ac:dyDescent="0.25"/>
    <row r="67" spans="4:8" ht="15" customHeight="1" x14ac:dyDescent="0.25"/>
    <row r="68" spans="4:8" ht="15" customHeight="1" x14ac:dyDescent="0.25"/>
    <row r="69" spans="4:8" ht="15" customHeight="1" x14ac:dyDescent="0.25"/>
    <row r="70" spans="4:8" ht="15" customHeight="1" x14ac:dyDescent="0.25"/>
    <row r="71" spans="4:8" ht="15" customHeight="1" x14ac:dyDescent="0.25"/>
    <row r="72" spans="4:8" ht="15" customHeight="1" x14ac:dyDescent="0.25"/>
    <row r="73" spans="4:8" ht="15" customHeight="1" x14ac:dyDescent="0.25"/>
    <row r="74" spans="4:8" ht="15" customHeight="1" x14ac:dyDescent="0.25"/>
    <row r="75" spans="4:8" ht="15" customHeight="1" x14ac:dyDescent="0.25"/>
    <row r="76" spans="4:8" ht="15" customHeight="1" x14ac:dyDescent="0.25"/>
    <row r="77" spans="4:8" ht="15" customHeight="1" x14ac:dyDescent="0.25"/>
    <row r="78" spans="4:8" ht="15" customHeight="1" x14ac:dyDescent="0.25"/>
    <row r="79" spans="4:8" ht="15" customHeight="1" x14ac:dyDescent="0.25"/>
    <row r="80" spans="4:8" ht="15" customHeight="1" x14ac:dyDescent="0.25">
      <c r="D80" s="237"/>
      <c r="E80" s="237"/>
      <c r="F80" s="237"/>
      <c r="G80" s="237"/>
      <c r="H80" s="236"/>
    </row>
  </sheetData>
  <mergeCells count="17">
    <mergeCell ref="B1:E1"/>
    <mergeCell ref="D3:E3"/>
    <mergeCell ref="B23:E23"/>
    <mergeCell ref="B5:E5"/>
    <mergeCell ref="B19:B20"/>
    <mergeCell ref="C20:F20"/>
    <mergeCell ref="B40:E40"/>
    <mergeCell ref="A43:A44"/>
    <mergeCell ref="B48:E48"/>
    <mergeCell ref="A8:A9"/>
    <mergeCell ref="A10:A11"/>
    <mergeCell ref="A12:A13"/>
    <mergeCell ref="A14:A15"/>
    <mergeCell ref="B17:B18"/>
    <mergeCell ref="C17:F17"/>
    <mergeCell ref="C18:F18"/>
    <mergeCell ref="C19:F19"/>
  </mergeCells>
  <phoneticPr fontId="20" type="noConversion"/>
  <conditionalFormatting sqref="K7:K18">
    <cfRule type="expression" dxfId="4" priority="4">
      <formula>AND($K7&lt;$K6, NOT(ISBLANK($K7)))</formula>
    </cfRule>
    <cfRule type="cellIs" dxfId="3" priority="5" operator="greaterThan">
      <formula>#REF!</formula>
    </cfRule>
  </conditionalFormatting>
  <conditionalFormatting sqref="K19">
    <cfRule type="expression" dxfId="2" priority="674">
      <formula>AND($K19&lt;$K17, NOT(ISBLANK($K19)))</formula>
    </cfRule>
    <cfRule type="cellIs" dxfId="1" priority="675" operator="greaterThan">
      <formula>#REF!</formula>
    </cfRule>
  </conditionalFormatting>
  <conditionalFormatting sqref="L7:L19">
    <cfRule type="cellIs" dxfId="0" priority="2" operator="greaterThan">
      <formula>1</formula>
    </cfRule>
  </conditionalFormatting>
  <dataValidations disablePrompts="1" count="1">
    <dataValidation type="list" allowBlank="1" showInputMessage="1" showErrorMessage="1" sqref="B52:C57" xr:uid="{EFFF5907-3868-4AF4-BAC2-19BC74A1B961}">
      <formula1>#REF!</formula1>
    </dataValidation>
  </dataValidations>
  <pageMargins left="0.25" right="0.25" top="0.75" bottom="0.75" header="0.3" footer="0.3"/>
  <pageSetup paperSize="9" scale="35" fitToHeight="0" orientation="portrait" verticalDpi="598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06643-F7E9-4CF7-B131-5D2E84B1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45</vt:i4>
      </vt:variant>
    </vt:vector>
  </HeadingPairs>
  <TitlesOfParts>
    <vt:vector size="62" baseType="lpstr">
      <vt:lpstr>Synthèse</vt:lpstr>
      <vt:lpstr>Participation horaire</vt:lpstr>
      <vt:lpstr>Bureau 1</vt:lpstr>
      <vt:lpstr>Bureau 2</vt:lpstr>
      <vt:lpstr>Bureau 3</vt:lpstr>
      <vt:lpstr>Bureau 4</vt:lpstr>
      <vt:lpstr>Bureau 5</vt:lpstr>
      <vt:lpstr>Bureau 6</vt:lpstr>
      <vt:lpstr>Bureau 7</vt:lpstr>
      <vt:lpstr>Bureau 8</vt:lpstr>
      <vt:lpstr>Bureau 9</vt:lpstr>
      <vt:lpstr>Bureau 10</vt:lpstr>
      <vt:lpstr>Bureau 11</vt:lpstr>
      <vt:lpstr>Bureau 12</vt:lpstr>
      <vt:lpstr>Projection</vt:lpstr>
      <vt:lpstr>Sièges</vt:lpstr>
      <vt:lpstr>Feuille décompte</vt:lpstr>
      <vt:lpstr>CalculSieges</vt:lpstr>
      <vt:lpstr>PfmCC</vt:lpstr>
      <vt:lpstr>PfmCM</vt:lpstr>
      <vt:lpstr>PmCC</vt:lpstr>
      <vt:lpstr>PmCM</vt:lpstr>
      <vt:lpstr>'Bureau 1'!Table1</vt:lpstr>
      <vt:lpstr>'Bureau 10'!Table1</vt:lpstr>
      <vt:lpstr>'Bureau 11'!Table1</vt:lpstr>
      <vt:lpstr>'Bureau 12'!Table1</vt:lpstr>
      <vt:lpstr>'Bureau 2'!Table1</vt:lpstr>
      <vt:lpstr>'Bureau 3'!Table1</vt:lpstr>
      <vt:lpstr>'Bureau 4'!Table1</vt:lpstr>
      <vt:lpstr>'Bureau 5'!Table1</vt:lpstr>
      <vt:lpstr>'Bureau 6'!Table1</vt:lpstr>
      <vt:lpstr>'Bureau 7'!Table1</vt:lpstr>
      <vt:lpstr>'Bureau 8'!Table1</vt:lpstr>
      <vt:lpstr>'Bureau 9'!Table1</vt:lpstr>
      <vt:lpstr>'Feuille décompte'!Table1</vt:lpstr>
      <vt:lpstr>Table1bis</vt:lpstr>
      <vt:lpstr>'Bureau 1'!Table2</vt:lpstr>
      <vt:lpstr>'Bureau 10'!Table2</vt:lpstr>
      <vt:lpstr>'Bureau 11'!Table2</vt:lpstr>
      <vt:lpstr>'Bureau 12'!Table2</vt:lpstr>
      <vt:lpstr>'Bureau 2'!Table2</vt:lpstr>
      <vt:lpstr>'Bureau 3'!Table2</vt:lpstr>
      <vt:lpstr>'Bureau 4'!Table2</vt:lpstr>
      <vt:lpstr>'Bureau 5'!Table2</vt:lpstr>
      <vt:lpstr>'Bureau 6'!Table2</vt:lpstr>
      <vt:lpstr>'Bureau 7'!Table2</vt:lpstr>
      <vt:lpstr>'Bureau 8'!Table2</vt:lpstr>
      <vt:lpstr>'Bureau 9'!Table2</vt:lpstr>
      <vt:lpstr>'Bureau 1'!Table3</vt:lpstr>
      <vt:lpstr>'Bureau 10'!Table3</vt:lpstr>
      <vt:lpstr>'Bureau 11'!Table3</vt:lpstr>
      <vt:lpstr>'Bureau 12'!Table3</vt:lpstr>
      <vt:lpstr>'Bureau 2'!Table3</vt:lpstr>
      <vt:lpstr>'Bureau 3'!Table3</vt:lpstr>
      <vt:lpstr>'Bureau 4'!Table3</vt:lpstr>
      <vt:lpstr>'Bureau 5'!Table3</vt:lpstr>
      <vt:lpstr>'Bureau 6'!Table3</vt:lpstr>
      <vt:lpstr>'Bureau 7'!Table3</vt:lpstr>
      <vt:lpstr>'Bureau 8'!Table3</vt:lpstr>
      <vt:lpstr>'Bureau 9'!Table3</vt:lpstr>
      <vt:lpstr>TableauAges</vt:lpstr>
      <vt:lpstr>VoixEligibles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Remi Barbero</dc:creator>
  <cp:keywords/>
  <dc:description/>
  <cp:lastModifiedBy>Rémi Barbero</cp:lastModifiedBy>
  <cp:revision/>
  <dcterms:created xsi:type="dcterms:W3CDTF">2025-03-13T09:37:21Z</dcterms:created>
  <dcterms:modified xsi:type="dcterms:W3CDTF">2026-03-23T12:22:00Z</dcterms:modified>
  <cp:category/>
  <cp:contentStatus/>
</cp:coreProperties>
</file>